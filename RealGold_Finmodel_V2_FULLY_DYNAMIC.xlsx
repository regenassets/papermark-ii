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10.xml" ContentType="application/vnd.openxmlformats-officedocument.spreadsheetml.worksheet+xml"/>
  <Override PartName="/xl/drawings/drawing5.xml" ContentType="application/vnd.openxmlformats-officedocument.drawing+xml"/>
  <Override PartName="/xl/comments/comment6.xml" ContentType="application/vnd.openxmlformats-officedocument.spreadsheetml.comments+xml"/>
  <Override PartName="/xl/worksheets/sheet11.xml" ContentType="application/vnd.openxmlformats-officedocument.spreadsheetml.worksheet+xml"/>
  <Override PartName="/xl/drawings/drawing6.xml" ContentType="application/vnd.openxmlformats-officedocument.drawing+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9.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el Health" sheetId="1" state="visible" r:id="rId1"/>
    <sheet name="Overview" sheetId="2" state="visible" r:id="rId2"/>
    <sheet name="Summaries" sheetId="3" state="visible" r:id="rId3"/>
    <sheet name="Inputs" sheetId="4" state="visible" r:id="rId4"/>
    <sheet name="Mine Inventory" sheetId="5" state="visible" r:id="rId5"/>
    <sheet name="Resource Supply (5yr)" sheetId="6" state="visible" r:id="rId6"/>
    <sheet name="Token Supply (5yr)" sheetId="7" state="visible" r:id="rId7"/>
    <sheet name="Token Demand (5yr)" sheetId="8" state="visible" r:id="rId8"/>
    <sheet name="RA LLC Cashflow" sheetId="9" state="visible" r:id="rId9"/>
    <sheet name="RAF Cashflow (5yr)" sheetId="10" state="visible" r:id="rId10"/>
    <sheet name="RGT Cashflow (5yr)" sheetId="11" state="visible" r:id="rId11"/>
    <sheet name="Personnel" sheetId="12" state="visible" r:id="rId12"/>
    <sheet name="Deferred Comp" sheetId="13" state="visible" r:id="rId13"/>
    <sheet name="Capital" sheetId="14" state="visible" r:id="rId14"/>
    <sheet name="Return Schedule" sheetId="15" state="visible" r:id="rId15"/>
    <sheet name="RevShare" sheetId="16" state="visible" r:id="rId16"/>
    <sheet name="Expenditures" sheetId="17" state="visible" r:id="rId17"/>
    <sheet name="Deal Calc" sheetId="18" state="visible" r:id="rId18"/>
    <sheet name="Release Terms" sheetId="19" state="visible" r:id="rId19"/>
    <sheet name="TTFconfig" sheetId="20" state="visible" r:id="rId20"/>
    <sheet name="XAUconfig" sheetId="21" state="visible" r:id="rId21"/>
  </sheets>
  <definedNames/>
  <calcPr calcId="124519" fullCalcOnLoad="1"/>
</workbook>
</file>

<file path=xl/styles.xml><?xml version="1.0" encoding="utf-8"?>
<styleSheet xmlns="http://schemas.openxmlformats.org/spreadsheetml/2006/main">
  <numFmts count="11">
    <numFmt numFmtId="164" formatCode="&quot;$&quot;#,##0.00"/>
    <numFmt numFmtId="165" formatCode="0.0%"/>
    <numFmt numFmtId="166" formatCode="&quot;$&quot;#,##0"/>
    <numFmt numFmtId="167" formatCode="#,##0.000"/>
    <numFmt numFmtId="168" formatCode="0.000"/>
    <numFmt numFmtId="169" formatCode="0.000%"/>
    <numFmt numFmtId="170" formatCode="#,##0.0"/>
    <numFmt numFmtId="171" formatCode="0.0"/>
    <numFmt numFmtId="172" formatCode="m/d/yyyy"/>
    <numFmt numFmtId="173" formatCode="m/d/yy"/>
    <numFmt numFmtId="174" formatCode="mm/dd/yy"/>
  </numFmts>
  <fonts count="26">
    <font>
      <name val="Arial"/>
      <color rgb="FF000000"/>
      <sz val="10"/>
      <scheme val="minor"/>
    </font>
    <font>
      <name val="Arial"/>
      <b val="1"/>
      <color theme="1"/>
      <sz val="12"/>
      <scheme val="minor"/>
    </font>
    <font>
      <name val="Arial"/>
      <color theme="1"/>
      <scheme val="minor"/>
    </font>
    <font>
      <name val="Arial"/>
      <b val="1"/>
      <color rgb="FFFFFFFF"/>
      <sz val="11"/>
      <scheme val="minor"/>
    </font>
    <font>
      <name val="Arial"/>
      <color rgb="FFFFFFFF"/>
      <scheme val="minor"/>
    </font>
    <font>
      <color rgb="FF0000FF"/>
      <u val="single"/>
    </font>
    <font>
      <color rgb="FF0000FF"/>
      <u val="single"/>
    </font>
    <font>
      <name val="Arial"/>
      <b val="1"/>
      <color theme="1"/>
      <sz val="16"/>
      <scheme val="minor"/>
    </font>
    <font>
      <name val="Arial"/>
      <color theme="1"/>
      <sz val="11"/>
      <scheme val="minor"/>
    </font>
    <font>
      <name val="Arial"/>
      <b val="1"/>
      <color rgb="FF000000"/>
      <sz val="11"/>
      <scheme val="minor"/>
    </font>
    <font>
      <name val="Arial"/>
      <b val="1"/>
      <color rgb="FFFFFFFF"/>
    </font>
    <font>
      <name val="Arial"/>
      <color theme="1"/>
    </font>
    <font>
      <name val="Arial"/>
      <b val="1"/>
      <color rgb="FF000000"/>
    </font>
    <font>
      <name val="Arial"/>
      <color rgb="FF000000"/>
    </font>
    <font>
      <name val="Arial"/>
      <b val="1"/>
      <color rgb="FFFFFFFF"/>
      <scheme val="minor"/>
    </font>
    <font>
      <name val="Arial"/>
      <b val="1"/>
      <color theme="1"/>
      <scheme val="minor"/>
    </font>
    <font>
      <name val="Arial"/>
      <b val="1"/>
      <color rgb="FFFFFFFF"/>
      <sz val="10"/>
      <scheme val="minor"/>
    </font>
    <font>
      <name val="Arial"/>
      <color theme="1"/>
      <sz val="10"/>
      <scheme val="minor"/>
    </font>
    <font>
      <name val="Arial"/>
      <b val="1"/>
      <i val="1"/>
      <color theme="1"/>
      <scheme val="minor"/>
    </font>
    <font>
      <name val="Arial"/>
      <b val="1"/>
      <color theme="1"/>
    </font>
    <font>
      <name val="Arial"/>
      <b val="1"/>
      <color rgb="FF6AA84F"/>
    </font>
    <font>
      <name val="Arial"/>
      <b val="1"/>
      <color rgb="FFCC0000"/>
    </font>
    <font>
      <b val="1"/>
      <sz val="16"/>
    </font>
    <font>
      <b val="1"/>
      <color rgb="00FF0000"/>
      <sz val="12"/>
    </font>
    <font>
      <b val="1"/>
      <sz val="12"/>
    </font>
    <font>
      <b val="1"/>
    </font>
  </fonts>
  <fills count="11">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s>
  <borders count="26">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rder>
    <border>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top style="medium">
        <color rgb="FF000000"/>
      </top>
      <bottom style="medium">
        <color rgb="FF000000"/>
      </bottom>
    </border>
    <border>
      <left style="medium">
        <color rgb="FF000000"/>
      </left>
      <top style="thin">
        <color rgb="FF000000"/>
      </top>
    </border>
    <border>
      <top style="thin">
        <color rgb="FF000000"/>
      </top>
    </border>
    <border>
      <left style="medium">
        <color rgb="FF000000"/>
      </lef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medium">
        <color rgb="FF000000"/>
      </bottom>
    </border>
    <border>
      <top style="thick">
        <color rgb="FF000000"/>
      </top>
    </border>
    <border>
      <bottom style="thick">
        <color rgb="FF000000"/>
      </bottom>
    </border>
  </borders>
  <cellStyleXfs count="1">
    <xf numFmtId="0" fontId="0" fillId="0" borderId="0"/>
  </cellStyleXfs>
  <cellXfs count="32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pivotButton="0" quotePrefix="0" xfId="0"/>
    <xf numFmtId="0" fontId="4" fillId="2" borderId="2" pivotButton="0" quotePrefix="0" xfId="0"/>
    <xf numFmtId="0" fontId="5" fillId="0" borderId="3" pivotButton="0" quotePrefix="0" xfId="0"/>
    <xf numFmtId="0" fontId="2" fillId="0" borderId="4" applyAlignment="1" pivotButton="0" quotePrefix="0" xfId="0">
      <alignment wrapText="1"/>
    </xf>
    <xf numFmtId="0" fontId="6" fillId="0" borderId="5" pivotButton="0" quotePrefix="0" xfId="0"/>
    <xf numFmtId="0" fontId="2" fillId="0" borderId="6" applyAlignment="1" pivotButton="0" quotePrefix="0" xfId="0">
      <alignment wrapText="1"/>
    </xf>
    <xf numFmtId="0" fontId="7" fillId="0" borderId="0" pivotButton="0" quotePrefix="0" xfId="0"/>
    <xf numFmtId="0" fontId="8" fillId="0" borderId="0" pivotButton="0" quotePrefix="0" xfId="0"/>
    <xf numFmtId="0" fontId="9" fillId="3" borderId="0" pivotButton="0" quotePrefix="0" xfId="0"/>
    <xf numFmtId="0" fontId="3" fillId="2" borderId="0" pivotButton="0" quotePrefix="0" xfId="0"/>
    <xf numFmtId="0" fontId="10" fillId="3" borderId="0" pivotButton="0" quotePrefix="0" xfId="0"/>
    <xf numFmtId="0" fontId="10" fillId="3" borderId="0" applyAlignment="1" pivotButton="0" quotePrefix="0" xfId="0">
      <alignment horizontal="center"/>
    </xf>
    <xf numFmtId="0" fontId="10" fillId="3" borderId="0" applyAlignment="1" pivotButton="0" quotePrefix="0" xfId="0">
      <alignment wrapText="1"/>
    </xf>
    <xf numFmtId="0" fontId="2" fillId="3" borderId="0" pivotButton="0" quotePrefix="0" xfId="0"/>
    <xf numFmtId="0" fontId="10" fillId="2" borderId="1" pivotButton="0" quotePrefix="0" xfId="0"/>
    <xf numFmtId="0" fontId="10" fillId="2" borderId="7" applyAlignment="1" pivotButton="0" quotePrefix="0" xfId="0">
      <alignment horizontal="center"/>
    </xf>
    <xf numFmtId="0" fontId="10" fillId="2" borderId="2" applyAlignment="1" pivotButton="0" quotePrefix="0" xfId="0">
      <alignment wrapText="1"/>
    </xf>
    <xf numFmtId="0" fontId="11" fillId="0" borderId="3" pivotButton="0" quotePrefix="0" xfId="0"/>
    <xf numFmtId="9" fontId="12" fillId="4" borderId="0" applyAlignment="1" pivotButton="0" quotePrefix="0" xfId="0">
      <alignment horizontal="center"/>
    </xf>
    <xf numFmtId="9" fontId="13" fillId="5" borderId="0" applyAlignment="1" pivotButton="0" quotePrefix="0" xfId="0">
      <alignment horizontal="center"/>
    </xf>
    <xf numFmtId="9" fontId="11" fillId="5" borderId="0" applyAlignment="1" pivotButton="0" quotePrefix="0" xfId="0">
      <alignment horizontal="center"/>
    </xf>
    <xf numFmtId="0" fontId="11" fillId="5" borderId="0" applyAlignment="1" pivotButton="0" quotePrefix="0" xfId="0">
      <alignment horizontal="center"/>
    </xf>
    <xf numFmtId="0" fontId="11" fillId="4" borderId="0" applyAlignment="1" pivotButton="0" quotePrefix="0" xfId="0">
      <alignment horizontal="center"/>
    </xf>
    <xf numFmtId="0" fontId="11" fillId="0" borderId="4" applyAlignment="1" pivotButton="0" quotePrefix="0" xfId="0">
      <alignment wrapText="1"/>
    </xf>
    <xf numFmtId="0" fontId="11" fillId="0" borderId="5" applyAlignment="1" pivotButton="0" quotePrefix="0" xfId="0">
      <alignment wrapText="1"/>
    </xf>
    <xf numFmtId="9" fontId="12" fillId="4" borderId="8" applyAlignment="1" pivotButton="0" quotePrefix="0" xfId="0">
      <alignment horizontal="center"/>
    </xf>
    <xf numFmtId="9" fontId="13" fillId="5" borderId="8" applyAlignment="1" pivotButton="0" quotePrefix="0" xfId="0">
      <alignment horizontal="center"/>
    </xf>
    <xf numFmtId="9" fontId="11" fillId="5" borderId="8" applyAlignment="1" pivotButton="0" quotePrefix="0" xfId="0">
      <alignment horizontal="center"/>
    </xf>
    <xf numFmtId="0" fontId="11" fillId="5" borderId="8" applyAlignment="1" pivotButton="0" quotePrefix="0" xfId="0">
      <alignment horizontal="center"/>
    </xf>
    <xf numFmtId="0" fontId="11" fillId="4" borderId="8" applyAlignment="1" pivotButton="0" quotePrefix="0" xfId="0">
      <alignment horizontal="center"/>
    </xf>
    <xf numFmtId="0" fontId="11" fillId="0" borderId="6" applyAlignment="1" pivotButton="0" quotePrefix="0" xfId="0">
      <alignment wrapText="1"/>
    </xf>
    <xf numFmtId="0" fontId="11" fillId="4" borderId="0" pivotButton="0" quotePrefix="0" xfId="0"/>
    <xf numFmtId="0" fontId="2" fillId="4" borderId="0" pivotButton="0" quotePrefix="0" xfId="0"/>
    <xf numFmtId="0" fontId="14" fillId="2" borderId="1" pivotButton="0" quotePrefix="0" xfId="0"/>
    <xf numFmtId="164" fontId="4" fillId="2" borderId="2" pivotButton="0" quotePrefix="0" xfId="0"/>
    <xf numFmtId="0" fontId="2" fillId="0" borderId="3" pivotButton="0" quotePrefix="0" xfId="0"/>
    <xf numFmtId="164" fontId="2" fillId="4" borderId="4" pivotButton="0" quotePrefix="0" xfId="0"/>
    <xf numFmtId="164" fontId="2" fillId="5" borderId="4" pivotButton="0" quotePrefix="0" xfId="0"/>
    <xf numFmtId="4" fontId="2" fillId="4" borderId="4" pivotButton="0" quotePrefix="0" xfId="0"/>
    <xf numFmtId="0" fontId="2" fillId="5" borderId="4" pivotButton="0" quotePrefix="0" xfId="0"/>
    <xf numFmtId="10" fontId="2" fillId="5" borderId="4" pivotButton="0" quotePrefix="0" xfId="0"/>
    <xf numFmtId="164" fontId="2" fillId="5" borderId="4" pivotButton="0" quotePrefix="0" xfId="0"/>
    <xf numFmtId="0" fontId="2" fillId="0" borderId="5" pivotButton="0" quotePrefix="0" xfId="0"/>
    <xf numFmtId="10" fontId="2" fillId="4" borderId="6" pivotButton="0" quotePrefix="0" xfId="0"/>
    <xf numFmtId="9" fontId="2" fillId="5" borderId="4" pivotButton="0" quotePrefix="0" xfId="0"/>
    <xf numFmtId="9" fontId="2" fillId="5" borderId="6" pivotButton="0" quotePrefix="0" xfId="0"/>
    <xf numFmtId="0" fontId="15" fillId="4" borderId="3" pivotButton="0" quotePrefix="0" xfId="0"/>
    <xf numFmtId="10" fontId="2" fillId="4" borderId="0" pivotButton="0" quotePrefix="0" xfId="0"/>
    <xf numFmtId="0" fontId="14" fillId="2" borderId="7" pivotButton="0" quotePrefix="0" xfId="0"/>
    <xf numFmtId="10" fontId="4" fillId="2" borderId="2" pivotButton="0" quotePrefix="0" xfId="0"/>
    <xf numFmtId="0" fontId="2" fillId="0" borderId="1" pivotButton="0" quotePrefix="0" xfId="0"/>
    <xf numFmtId="10" fontId="2" fillId="5" borderId="2" pivotButton="0" quotePrefix="0" xfId="0"/>
    <xf numFmtId="10" fontId="2" fillId="5" borderId="6" pivotButton="0" quotePrefix="0" xfId="0"/>
    <xf numFmtId="0" fontId="14" fillId="2" borderId="9" pivotButton="0" quotePrefix="0" xfId="0"/>
    <xf numFmtId="0" fontId="4" fillId="2" borderId="10" pivotButton="0" quotePrefix="0" xfId="0"/>
    <xf numFmtId="0" fontId="11" fillId="0" borderId="0" applyAlignment="1" pivotButton="0" quotePrefix="0" xfId="0">
      <alignment vertical="bottom"/>
    </xf>
    <xf numFmtId="0" fontId="2" fillId="0" borderId="11" pivotButton="0" quotePrefix="0" xfId="0"/>
    <xf numFmtId="9" fontId="2" fillId="5" borderId="12" pivotButton="0" quotePrefix="0" xfId="0"/>
    <xf numFmtId="9" fontId="11" fillId="0" borderId="0" applyAlignment="1" pivotButton="0" quotePrefix="0" xfId="0">
      <alignment vertical="bottom"/>
    </xf>
    <xf numFmtId="0" fontId="2" fillId="0" borderId="13" pivotButton="0" quotePrefix="0" xfId="0"/>
    <xf numFmtId="10" fontId="2" fillId="5" borderId="14" pivotButton="0" quotePrefix="0" xfId="0"/>
    <xf numFmtId="9" fontId="11" fillId="0" borderId="0" applyAlignment="1" pivotButton="0" quotePrefix="0" xfId="0">
      <alignment horizontal="right" vertical="bottom"/>
    </xf>
    <xf numFmtId="0" fontId="11" fillId="0" borderId="0" applyAlignment="1" pivotButton="0" quotePrefix="0" xfId="0">
      <alignment horizontal="right" vertical="bottom"/>
    </xf>
    <xf numFmtId="10" fontId="11" fillId="0" borderId="0" applyAlignment="1" pivotButton="0" quotePrefix="0" xfId="0">
      <alignment horizontal="right" vertical="bottom"/>
    </xf>
    <xf numFmtId="165" fontId="11" fillId="0" borderId="0" applyAlignment="1" pivotButton="0" quotePrefix="0" xfId="0">
      <alignment horizontal="right" vertical="bottom"/>
    </xf>
    <xf numFmtId="165" fontId="2" fillId="5" borderId="12" pivotButton="0" quotePrefix="0" xfId="0"/>
    <xf numFmtId="0" fontId="2" fillId="5" borderId="12" pivotButton="0" quotePrefix="0" xfId="0"/>
    <xf numFmtId="0" fontId="2" fillId="5" borderId="14" pivotButton="0" quotePrefix="0" xfId="0"/>
    <xf numFmtId="0" fontId="2" fillId="5" borderId="6" pivotButton="0" quotePrefix="0" xfId="0"/>
    <xf numFmtId="0" fontId="2" fillId="0" borderId="6" pivotButton="0" quotePrefix="0" xfId="0"/>
    <xf numFmtId="0" fontId="16" fillId="2" borderId="0" pivotButton="0" quotePrefix="0" xfId="0"/>
    <xf numFmtId="0" fontId="14" fillId="2" borderId="0" pivotButton="0" quotePrefix="0" xfId="0"/>
    <xf numFmtId="166" fontId="14" fillId="2" borderId="0" pivotButton="0" quotePrefix="0" xfId="0"/>
    <xf numFmtId="0" fontId="2" fillId="0" borderId="7" pivotButton="0" quotePrefix="0" xfId="0"/>
    <xf numFmtId="3" fontId="2" fillId="5" borderId="7" pivotButton="0" quotePrefix="0" xfId="0"/>
    <xf numFmtId="3" fontId="2" fillId="0" borderId="7" pivotButton="0" quotePrefix="0" xfId="0"/>
    <xf numFmtId="167" fontId="2" fillId="0" borderId="7" pivotButton="0" quotePrefix="0" xfId="0"/>
    <xf numFmtId="167" fontId="2" fillId="3" borderId="7" pivotButton="0" quotePrefix="0" xfId="0"/>
    <xf numFmtId="0" fontId="2" fillId="5" borderId="7" pivotButton="0" quotePrefix="0" xfId="0"/>
    <xf numFmtId="167" fontId="2" fillId="0" borderId="0" pivotButton="0" quotePrefix="0" xfId="0"/>
    <xf numFmtId="167" fontId="2" fillId="0" borderId="7" pivotButton="0" quotePrefix="0" xfId="0"/>
    <xf numFmtId="168" fontId="2" fillId="0" borderId="0" pivotButton="0" quotePrefix="0" xfId="0"/>
    <xf numFmtId="168" fontId="2" fillId="0" borderId="7" pivotButton="0" quotePrefix="0" xfId="0"/>
    <xf numFmtId="166" fontId="2" fillId="5" borderId="7" pivotButton="0" quotePrefix="0" xfId="0"/>
    <xf numFmtId="167" fontId="2" fillId="0" borderId="0" pivotButton="0" quotePrefix="0" xfId="0"/>
    <xf numFmtId="169" fontId="2" fillId="0" borderId="7" pivotButton="0" quotePrefix="0" xfId="0"/>
    <xf numFmtId="164" fontId="2" fillId="0" borderId="7" pivotButton="0" quotePrefix="0" xfId="0"/>
    <xf numFmtId="166" fontId="2" fillId="0" borderId="7" pivotButton="0" quotePrefix="0" xfId="0"/>
    <xf numFmtId="9" fontId="2" fillId="5" borderId="7" pivotButton="0" quotePrefix="0" xfId="0"/>
    <xf numFmtId="9" fontId="2" fillId="0" borderId="7" pivotButton="0" quotePrefix="0" xfId="0"/>
    <xf numFmtId="2" fontId="2" fillId="0" borderId="7" pivotButton="0" quotePrefix="0" xfId="0"/>
    <xf numFmtId="0" fontId="2" fillId="0" borderId="7" pivotButton="0" quotePrefix="0" xfId="0"/>
    <xf numFmtId="0" fontId="2" fillId="0" borderId="2" pivotButton="0" quotePrefix="0" xfId="0"/>
    <xf numFmtId="3" fontId="2" fillId="5" borderId="0" pivotButton="0" quotePrefix="0" xfId="0"/>
    <xf numFmtId="3" fontId="2" fillId="0" borderId="0" pivotButton="0" quotePrefix="0" xfId="0"/>
    <xf numFmtId="3" fontId="2" fillId="3" borderId="0" pivotButton="0" quotePrefix="0" xfId="0"/>
    <xf numFmtId="0" fontId="2" fillId="5" borderId="0" pivotButton="0" quotePrefix="0" xfId="0"/>
    <xf numFmtId="3" fontId="2" fillId="0" borderId="0" pivotButton="0" quotePrefix="0" xfId="0"/>
    <xf numFmtId="166" fontId="2" fillId="5" borderId="0" pivotButton="0" quotePrefix="0" xfId="0"/>
    <xf numFmtId="166" fontId="2" fillId="0" borderId="0" pivotButton="0" quotePrefix="0" xfId="0"/>
    <xf numFmtId="9" fontId="2" fillId="5" borderId="0" pivotButton="0" quotePrefix="0" xfId="0"/>
    <xf numFmtId="9" fontId="2" fillId="0" borderId="0" pivotButton="0" quotePrefix="0" xfId="0"/>
    <xf numFmtId="2" fontId="2" fillId="0" borderId="0" pivotButton="0" quotePrefix="0" xfId="0"/>
    <xf numFmtId="0" fontId="2" fillId="0" borderId="4" pivotButton="0" quotePrefix="0" xfId="0"/>
    <xf numFmtId="166" fontId="2" fillId="5" borderId="0" pivotButton="0" quotePrefix="0" xfId="0"/>
    <xf numFmtId="0" fontId="15" fillId="0" borderId="5" pivotButton="0" quotePrefix="0" xfId="0"/>
    <xf numFmtId="0" fontId="15" fillId="0" borderId="8" pivotButton="0" quotePrefix="0" xfId="0"/>
    <xf numFmtId="3" fontId="15" fillId="0" borderId="8" pivotButton="0" quotePrefix="0" xfId="0"/>
    <xf numFmtId="3" fontId="15" fillId="0" borderId="8" pivotButton="0" quotePrefix="0" xfId="0"/>
    <xf numFmtId="0" fontId="15" fillId="0" borderId="8" pivotButton="0" quotePrefix="0" xfId="0"/>
    <xf numFmtId="168" fontId="15" fillId="0" borderId="8" pivotButton="0" quotePrefix="0" xfId="0"/>
    <xf numFmtId="166" fontId="15" fillId="0" borderId="8" pivotButton="0" quotePrefix="0" xfId="0"/>
    <xf numFmtId="0" fontId="2" fillId="0" borderId="8" pivotButton="0" quotePrefix="0" xfId="0"/>
    <xf numFmtId="169" fontId="2" fillId="0" borderId="0" pivotButton="0" quotePrefix="0" xfId="0"/>
    <xf numFmtId="0" fontId="2" fillId="0" borderId="0" pivotButton="0" quotePrefix="0" xfId="0"/>
    <xf numFmtId="49" fontId="2" fillId="0" borderId="0" pivotButton="0" quotePrefix="0" xfId="0"/>
    <xf numFmtId="0" fontId="14" fillId="2" borderId="2" pivotButton="0" quotePrefix="0" xfId="0"/>
    <xf numFmtId="0" fontId="16" fillId="2" borderId="1" pivotButton="0" quotePrefix="0" xfId="0"/>
    <xf numFmtId="0" fontId="2" fillId="0" borderId="2" pivotButton="0" quotePrefix="0" xfId="0"/>
    <xf numFmtId="0" fontId="2" fillId="6" borderId="0" pivotButton="0" quotePrefix="0" xfId="0"/>
    <xf numFmtId="3" fontId="2" fillId="6" borderId="0" pivotButton="0" quotePrefix="0" xfId="0"/>
    <xf numFmtId="3" fontId="2" fillId="5" borderId="0" pivotButton="0" quotePrefix="0" xfId="0"/>
    <xf numFmtId="167" fontId="2" fillId="5" borderId="0" pivotButton="0" quotePrefix="0" xfId="0"/>
    <xf numFmtId="167" fontId="17" fillId="0" borderId="0" pivotButton="0" quotePrefix="0" xfId="0"/>
    <xf numFmtId="0" fontId="2" fillId="4" borderId="3" pivotButton="0" quotePrefix="0" xfId="0"/>
    <xf numFmtId="0" fontId="2" fillId="4" borderId="0" pivotButton="0" quotePrefix="0" xfId="0"/>
    <xf numFmtId="3" fontId="2" fillId="4" borderId="0" pivotButton="0" quotePrefix="0" xfId="0"/>
    <xf numFmtId="167" fontId="2" fillId="4" borderId="0" pivotButton="0" quotePrefix="0" xfId="0"/>
    <xf numFmtId="168" fontId="2" fillId="4" borderId="0" pivotButton="0" quotePrefix="0" xfId="0"/>
    <xf numFmtId="0" fontId="2" fillId="4" borderId="4" pivotButton="0" quotePrefix="0" xfId="0"/>
    <xf numFmtId="166" fontId="2" fillId="0" borderId="0" pivotButton="0" quotePrefix="0" xfId="0"/>
    <xf numFmtId="166" fontId="2" fillId="0" borderId="4" pivotButton="0" quotePrefix="0" xfId="0"/>
    <xf numFmtId="166" fontId="2" fillId="0" borderId="4" pivotButton="0" quotePrefix="0" xfId="0"/>
    <xf numFmtId="0" fontId="2" fillId="6" borderId="8" pivotButton="0" quotePrefix="0" xfId="0"/>
    <xf numFmtId="0" fontId="2" fillId="0" borderId="8" pivotButton="0" quotePrefix="0" xfId="0"/>
    <xf numFmtId="166" fontId="2" fillId="0" borderId="8" pivotButton="0" quotePrefix="0" xfId="0"/>
    <xf numFmtId="166" fontId="2" fillId="0" borderId="8" pivotButton="0" quotePrefix="0" xfId="0"/>
    <xf numFmtId="166" fontId="2" fillId="0" borderId="6" pivotButton="0" quotePrefix="0" xfId="0"/>
    <xf numFmtId="0" fontId="15" fillId="4" borderId="0" pivotButton="0" quotePrefix="0" xfId="0"/>
    <xf numFmtId="3" fontId="2" fillId="6" borderId="7" pivotButton="0" quotePrefix="0" xfId="0"/>
    <xf numFmtId="3" fontId="2" fillId="0" borderId="2" pivotButton="0" quotePrefix="0" xfId="0"/>
    <xf numFmtId="3" fontId="2" fillId="0" borderId="4" pivotButton="0" quotePrefix="0" xfId="0"/>
    <xf numFmtId="170" fontId="2" fillId="0" borderId="0" pivotButton="0" quotePrefix="0" xfId="0"/>
    <xf numFmtId="170" fontId="2" fillId="0" borderId="0" pivotButton="0" quotePrefix="0" xfId="0"/>
    <xf numFmtId="170" fontId="2" fillId="0" borderId="4" pivotButton="0" quotePrefix="0" xfId="0"/>
    <xf numFmtId="0" fontId="2" fillId="4" borderId="3" pivotButton="0" quotePrefix="0" xfId="0"/>
    <xf numFmtId="0" fontId="15" fillId="0" borderId="0" pivotButton="0" quotePrefix="0" xfId="0"/>
    <xf numFmtId="0" fontId="4" fillId="2" borderId="7" pivotButton="0" quotePrefix="0" xfId="0"/>
    <xf numFmtId="0" fontId="14" fillId="2" borderId="7" applyAlignment="1" pivotButton="0" quotePrefix="0" xfId="0">
      <alignment horizontal="center"/>
    </xf>
    <xf numFmtId="0" fontId="14" fillId="2" borderId="2" applyAlignment="1" pivotButton="0" quotePrefix="0" xfId="0">
      <alignment horizontal="center"/>
    </xf>
    <xf numFmtId="2" fontId="15" fillId="0" borderId="0" pivotButton="0" quotePrefix="0" xfId="0"/>
    <xf numFmtId="3" fontId="2" fillId="0" borderId="4" pivotButton="0" quotePrefix="0" xfId="0"/>
    <xf numFmtId="167" fontId="2" fillId="0" borderId="4" pivotButton="0" quotePrefix="0" xfId="0"/>
    <xf numFmtId="0" fontId="4" fillId="2" borderId="5" pivotButton="0" quotePrefix="0" xfId="0"/>
    <xf numFmtId="0" fontId="4" fillId="2" borderId="8" pivotButton="0" quotePrefix="0" xfId="0"/>
    <xf numFmtId="2" fontId="4" fillId="2" borderId="6" pivotButton="0" quotePrefix="0" xfId="0"/>
    <xf numFmtId="168" fontId="2" fillId="0" borderId="0" pivotButton="0" quotePrefix="0" xfId="0"/>
    <xf numFmtId="1" fontId="2" fillId="0" borderId="0" pivotButton="0" quotePrefix="0" xfId="0"/>
    <xf numFmtId="167" fontId="2" fillId="0" borderId="4" pivotButton="0" quotePrefix="0" xfId="0"/>
    <xf numFmtId="3" fontId="2" fillId="0" borderId="8" pivotButton="0" quotePrefix="0" xfId="0"/>
    <xf numFmtId="167" fontId="2" fillId="0" borderId="8" pivotButton="0" quotePrefix="0" xfId="0"/>
    <xf numFmtId="167" fontId="2" fillId="0" borderId="6" pivotButton="0" quotePrefix="0" xfId="0"/>
    <xf numFmtId="1" fontId="2" fillId="0" borderId="0" pivotButton="0" quotePrefix="0" xfId="0"/>
    <xf numFmtId="168" fontId="2" fillId="0" borderId="4" pivotButton="0" quotePrefix="0" xfId="0"/>
    <xf numFmtId="1" fontId="2" fillId="0" borderId="8" pivotButton="0" quotePrefix="0" xfId="0"/>
    <xf numFmtId="168" fontId="2" fillId="0" borderId="8" pivotButton="0" quotePrefix="0" xfId="0"/>
    <xf numFmtId="168" fontId="2" fillId="0" borderId="6" pivotButton="0" quotePrefix="0" xfId="0"/>
    <xf numFmtId="168" fontId="2" fillId="4" borderId="0" pivotButton="0" quotePrefix="0" xfId="0"/>
    <xf numFmtId="167" fontId="2" fillId="0" borderId="2" pivotButton="0" quotePrefix="0" xfId="0"/>
    <xf numFmtId="0" fontId="2" fillId="0" borderId="8" applyAlignment="1" pivotButton="0" quotePrefix="0" xfId="0">
      <alignment horizontal="right"/>
    </xf>
    <xf numFmtId="10" fontId="2" fillId="0" borderId="8" pivotButton="0" quotePrefix="0" xfId="0"/>
    <xf numFmtId="10" fontId="2" fillId="0" borderId="6" pivotButton="0" quotePrefix="0" xfId="0"/>
    <xf numFmtId="167" fontId="2" fillId="0" borderId="2" pivotButton="0" quotePrefix="0" xfId="0"/>
    <xf numFmtId="168" fontId="2" fillId="0" borderId="4" pivotButton="0" quotePrefix="0" xfId="0"/>
    <xf numFmtId="166" fontId="2" fillId="0" borderId="6" pivotButton="0" quotePrefix="0" xfId="0"/>
    <xf numFmtId="0" fontId="2" fillId="7" borderId="0" pivotButton="0" quotePrefix="0" xfId="0"/>
    <xf numFmtId="166" fontId="2" fillId="7" borderId="0" pivotButton="0" quotePrefix="0" xfId="0"/>
    <xf numFmtId="3" fontId="2" fillId="7" borderId="0" pivotButton="0" quotePrefix="0" xfId="0"/>
    <xf numFmtId="166" fontId="2" fillId="0" borderId="7" pivotButton="0" quotePrefix="0" xfId="0"/>
    <xf numFmtId="3" fontId="2" fillId="5" borderId="4" pivotButton="0" quotePrefix="0" xfId="0"/>
    <xf numFmtId="9" fontId="2" fillId="5" borderId="8" pivotButton="0" quotePrefix="0" xfId="0"/>
    <xf numFmtId="166" fontId="2" fillId="4" borderId="0" pivotButton="0" quotePrefix="0" xfId="0"/>
    <xf numFmtId="10" fontId="2" fillId="0" borderId="0" pivotButton="0" quotePrefix="0" xfId="0"/>
    <xf numFmtId="10" fontId="2" fillId="5" borderId="0" pivotButton="0" quotePrefix="0" xfId="0"/>
    <xf numFmtId="167" fontId="2" fillId="5" borderId="4" pivotButton="0" quotePrefix="0" xfId="0"/>
    <xf numFmtId="3" fontId="2" fillId="4" borderId="4" pivotButton="0" quotePrefix="0" xfId="0"/>
    <xf numFmtId="3" fontId="2" fillId="0" borderId="8" pivotButton="0" quotePrefix="0" xfId="0"/>
    <xf numFmtId="0" fontId="2" fillId="3" borderId="0" pivotButton="0" quotePrefix="0" xfId="0"/>
    <xf numFmtId="0" fontId="15" fillId="0" borderId="0" pivotButton="0" quotePrefix="0" xfId="0"/>
    <xf numFmtId="0" fontId="15" fillId="0" borderId="4" pivotButton="0" quotePrefix="0" xfId="0"/>
    <xf numFmtId="0" fontId="2" fillId="4" borderId="15" pivotButton="0" quotePrefix="0" xfId="0"/>
    <xf numFmtId="0" fontId="2" fillId="4" borderId="15" pivotButton="0" quotePrefix="0" xfId="0"/>
    <xf numFmtId="166" fontId="2" fillId="4" borderId="15" pivotButton="0" quotePrefix="0" xfId="0"/>
    <xf numFmtId="3" fontId="2" fillId="4" borderId="15" pivotButton="0" quotePrefix="0" xfId="0"/>
    <xf numFmtId="0" fontId="14" fillId="2" borderId="3" pivotButton="0" quotePrefix="0" xfId="0"/>
    <xf numFmtId="9" fontId="2" fillId="0" borderId="0" pivotButton="0" quotePrefix="0" xfId="0"/>
    <xf numFmtId="167" fontId="15" fillId="0" borderId="8" pivotButton="0" quotePrefix="0" xfId="0"/>
    <xf numFmtId="166" fontId="15" fillId="0" borderId="6" pivotButton="0" quotePrefix="0" xfId="0"/>
    <xf numFmtId="0" fontId="14" fillId="2" borderId="16" pivotButton="0" quotePrefix="0" xfId="0"/>
    <xf numFmtId="0" fontId="2" fillId="0" borderId="17" pivotButton="0" quotePrefix="0" xfId="0"/>
    <xf numFmtId="166" fontId="2" fillId="0" borderId="17" pivotButton="0" quotePrefix="0" xfId="0"/>
    <xf numFmtId="0" fontId="2" fillId="0" borderId="17" pivotButton="0" quotePrefix="0" xfId="0"/>
    <xf numFmtId="166" fontId="15" fillId="0" borderId="0" pivotButton="0" quotePrefix="0" xfId="0"/>
    <xf numFmtId="0" fontId="2" fillId="4" borderId="8" pivotButton="0" quotePrefix="0" xfId="0"/>
    <xf numFmtId="0" fontId="15" fillId="0" borderId="3" pivotButton="0" quotePrefix="0" xfId="0"/>
    <xf numFmtId="0" fontId="15" fillId="4" borderId="18" pivotButton="0" quotePrefix="0" xfId="0"/>
    <xf numFmtId="0" fontId="14" fillId="2" borderId="19" pivotButton="0" quotePrefix="0" xfId="0"/>
    <xf numFmtId="0" fontId="2" fillId="0" borderId="20" pivotButton="0" quotePrefix="0" xfId="0"/>
    <xf numFmtId="0" fontId="2" fillId="0" borderId="21" pivotButton="0" quotePrefix="0" xfId="0"/>
    <xf numFmtId="166" fontId="2" fillId="0" borderId="22" pivotButton="0" quotePrefix="0" xfId="0"/>
    <xf numFmtId="0" fontId="2" fillId="0" borderId="23" pivotButton="0" quotePrefix="0" xfId="0"/>
    <xf numFmtId="0" fontId="18" fillId="6" borderId="3" applyAlignment="1" pivotButton="0" quotePrefix="0" xfId="0">
      <alignment horizontal="center"/>
    </xf>
    <xf numFmtId="4" fontId="2" fillId="6" borderId="0" pivotButton="0" quotePrefix="0" xfId="0"/>
    <xf numFmtId="166" fontId="2" fillId="6" borderId="0" pivotButton="0" quotePrefix="0" xfId="0"/>
    <xf numFmtId="0" fontId="2" fillId="6" borderId="0" pivotButton="0" quotePrefix="0" xfId="0"/>
    <xf numFmtId="0" fontId="2" fillId="6" borderId="4" pivotButton="0" quotePrefix="0" xfId="0"/>
    <xf numFmtId="4" fontId="2" fillId="5" borderId="0" pivotButton="0" quotePrefix="0" xfId="0"/>
    <xf numFmtId="166" fontId="2" fillId="4" borderId="0" pivotButton="0" quotePrefix="0" xfId="0"/>
    <xf numFmtId="166" fontId="2" fillId="4" borderId="4" pivotButton="0" quotePrefix="0" xfId="0"/>
    <xf numFmtId="170" fontId="2" fillId="5" borderId="0" pivotButton="0" quotePrefix="0" xfId="0"/>
    <xf numFmtId="0" fontId="15" fillId="6" borderId="0" pivotButton="0" quotePrefix="0" xfId="0"/>
    <xf numFmtId="0" fontId="15" fillId="6" borderId="4" pivotButton="0" quotePrefix="0" xfId="0"/>
    <xf numFmtId="171" fontId="2" fillId="5" borderId="0" pivotButton="0" quotePrefix="0" xfId="0"/>
    <xf numFmtId="164" fontId="15" fillId="0" borderId="0" pivotButton="0" quotePrefix="0" xfId="0"/>
    <xf numFmtId="166" fontId="2" fillId="8" borderId="0" pivotButton="0" quotePrefix="0" xfId="0"/>
    <xf numFmtId="167" fontId="15" fillId="0" borderId="0" pivotButton="0" quotePrefix="0" xfId="0"/>
    <xf numFmtId="164" fontId="2" fillId="0" borderId="0" pivotButton="0" quotePrefix="0" xfId="0"/>
    <xf numFmtId="0" fontId="2" fillId="0" borderId="9" pivotButton="0" quotePrefix="0" xfId="0"/>
    <xf numFmtId="0" fontId="14" fillId="2" borderId="24" pivotButton="0" quotePrefix="0" xfId="0"/>
    <xf numFmtId="0" fontId="14" fillId="2" borderId="10" pivotButton="0" quotePrefix="0" xfId="0"/>
    <xf numFmtId="172" fontId="2" fillId="5" borderId="0" pivotButton="0" quotePrefix="0" xfId="0"/>
    <xf numFmtId="164" fontId="2" fillId="6" borderId="0" pivotButton="0" quotePrefix="0" xfId="0"/>
    <xf numFmtId="168" fontId="2" fillId="6" borderId="0" pivotButton="0" quotePrefix="0" xfId="0"/>
    <xf numFmtId="165" fontId="2" fillId="6" borderId="0" pivotButton="0" quotePrefix="0" xfId="0"/>
    <xf numFmtId="166" fontId="2" fillId="6" borderId="0" pivotButton="0" quotePrefix="0" xfId="0"/>
    <xf numFmtId="10" fontId="2" fillId="6" borderId="0" pivotButton="0" quotePrefix="0" xfId="0"/>
    <xf numFmtId="10" fontId="2" fillId="6" borderId="12" pivotButton="0" quotePrefix="0" xfId="0"/>
    <xf numFmtId="173" fontId="2" fillId="5" borderId="0" pivotButton="0" quotePrefix="0" xfId="0"/>
    <xf numFmtId="10" fontId="2" fillId="5" borderId="0" pivotButton="0" quotePrefix="0" xfId="0"/>
    <xf numFmtId="0" fontId="2" fillId="5" borderId="0" pivotButton="0" quotePrefix="0" xfId="0"/>
    <xf numFmtId="0" fontId="15" fillId="0" borderId="13" pivotButton="0" quotePrefix="0" xfId="0"/>
    <xf numFmtId="0" fontId="2" fillId="6" borderId="25" pivotButton="0" quotePrefix="0" xfId="0"/>
    <xf numFmtId="166" fontId="15" fillId="6" borderId="25" pivotButton="0" quotePrefix="0" xfId="0"/>
    <xf numFmtId="0" fontId="15" fillId="6" borderId="25" pivotButton="0" quotePrefix="0" xfId="0"/>
    <xf numFmtId="168" fontId="15" fillId="6" borderId="25" pivotButton="0" quotePrefix="0" xfId="0"/>
    <xf numFmtId="166" fontId="15" fillId="6" borderId="25" pivotButton="0" quotePrefix="0" xfId="0"/>
    <xf numFmtId="0" fontId="2" fillId="6" borderId="14" pivotButton="0" quotePrefix="0" xfId="0"/>
    <xf numFmtId="10" fontId="2" fillId="0" borderId="0" pivotButton="0" quotePrefix="0" xfId="0"/>
    <xf numFmtId="165" fontId="2" fillId="0" borderId="0" pivotButton="0" quotePrefix="0" xfId="0"/>
    <xf numFmtId="164" fontId="11" fillId="0" borderId="0" applyAlignment="1" pivotButton="0" quotePrefix="0" xfId="0">
      <alignment vertical="bottom"/>
    </xf>
    <xf numFmtId="164" fontId="19"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11" fillId="0" borderId="0" applyAlignment="1" pivotButton="0" quotePrefix="0" xfId="0">
      <alignment vertical="bottom"/>
    </xf>
    <xf numFmtId="0" fontId="21" fillId="0" borderId="0" applyAlignment="1" pivotButton="0" quotePrefix="0" xfId="0">
      <alignment vertical="bottom"/>
    </xf>
    <xf numFmtId="0" fontId="16" fillId="2" borderId="7" pivotButton="0" quotePrefix="0" xfId="0"/>
    <xf numFmtId="4" fontId="2" fillId="0" borderId="0" pivotButton="0" quotePrefix="0" xfId="0"/>
    <xf numFmtId="10" fontId="2" fillId="0" borderId="4" pivotButton="0" quotePrefix="0" xfId="0"/>
    <xf numFmtId="166" fontId="15" fillId="0" borderId="8" pivotButton="0" quotePrefix="0" xfId="0"/>
    <xf numFmtId="0" fontId="15" fillId="0" borderId="6" pivotButton="0" quotePrefix="0" xfId="0"/>
    <xf numFmtId="9" fontId="4" fillId="0" borderId="0" pivotButton="0" quotePrefix="0" xfId="0"/>
    <xf numFmtId="9" fontId="2" fillId="0" borderId="4" pivotButton="0" quotePrefix="0" xfId="0"/>
    <xf numFmtId="10" fontId="2" fillId="0" borderId="4" pivotButton="0" quotePrefix="0" xfId="0"/>
    <xf numFmtId="164" fontId="11" fillId="0" borderId="4" applyAlignment="1" pivotButton="0" quotePrefix="0" xfId="0">
      <alignment vertical="bottom"/>
    </xf>
    <xf numFmtId="164" fontId="11" fillId="0" borderId="6" applyAlignment="1" pivotButton="0" quotePrefix="0" xfId="0">
      <alignment vertical="bottom"/>
    </xf>
    <xf numFmtId="166" fontId="4" fillId="2" borderId="2" pivotButton="0" quotePrefix="0" xfId="0"/>
    <xf numFmtId="166" fontId="2" fillId="5" borderId="4" pivotButton="0" quotePrefix="0" xfId="0"/>
    <xf numFmtId="174" fontId="2" fillId="0" borderId="0" pivotButton="0" quotePrefix="0" xfId="0"/>
    <xf numFmtId="173" fontId="2" fillId="0" borderId="0" pivotButton="0" quotePrefix="0" xfId="0"/>
    <xf numFmtId="166" fontId="2" fillId="3" borderId="0" pivotButton="0" quotePrefix="0" xfId="0"/>
    <xf numFmtId="3" fontId="2" fillId="5" borderId="2" pivotButton="0" quotePrefix="0" xfId="0"/>
    <xf numFmtId="164" fontId="2" fillId="0" borderId="0" pivotButton="0" quotePrefix="0" xfId="0"/>
    <xf numFmtId="164" fontId="2" fillId="6" borderId="2" pivotButton="0" quotePrefix="0" xfId="0"/>
    <xf numFmtId="164" fontId="2" fillId="6" borderId="4" pivotButton="0" quotePrefix="0" xfId="0"/>
    <xf numFmtId="10" fontId="2" fillId="6" borderId="6" pivotButton="0" quotePrefix="0" xfId="0"/>
    <xf numFmtId="9" fontId="2" fillId="5" borderId="2" pivotButton="0" quotePrefix="0" xfId="0"/>
    <xf numFmtId="164" fontId="2" fillId="6" borderId="6" pivotButton="0" quotePrefix="0" xfId="0"/>
    <xf numFmtId="166" fontId="2" fillId="0" borderId="2" pivotButton="0" quotePrefix="0" xfId="0"/>
    <xf numFmtId="0" fontId="15" fillId="0" borderId="9" pivotButton="0" quotePrefix="0" xfId="0"/>
    <xf numFmtId="0" fontId="15" fillId="0" borderId="24" pivotButton="0" quotePrefix="0" xfId="0"/>
    <xf numFmtId="0" fontId="15" fillId="0" borderId="10" pivotButton="0" quotePrefix="0" xfId="0"/>
    <xf numFmtId="166" fontId="15" fillId="0" borderId="9" pivotButton="0" quotePrefix="0" xfId="0"/>
    <xf numFmtId="166" fontId="15" fillId="0" borderId="24" pivotButton="0" quotePrefix="0" xfId="0"/>
    <xf numFmtId="166" fontId="15" fillId="0" borderId="10" pivotButton="0" quotePrefix="0" xfId="0"/>
    <xf numFmtId="9" fontId="2" fillId="6" borderId="0" pivotButton="0" quotePrefix="0" xfId="0"/>
    <xf numFmtId="9" fontId="2" fillId="6" borderId="12" pivotButton="0" quotePrefix="0" xfId="0"/>
    <xf numFmtId="3" fontId="2" fillId="4" borderId="0" pivotButton="0" quotePrefix="0" xfId="0"/>
    <xf numFmtId="3" fontId="2" fillId="6" borderId="11" pivotButton="0" quotePrefix="0" xfId="0"/>
    <xf numFmtId="2" fontId="2" fillId="6" borderId="12" pivotButton="0" quotePrefix="0" xfId="0"/>
    <xf numFmtId="166" fontId="2" fillId="6" borderId="11" pivotButton="0" quotePrefix="0" xfId="0"/>
    <xf numFmtId="166" fontId="2" fillId="6" borderId="12" pivotButton="0" quotePrefix="0" xfId="0"/>
    <xf numFmtId="2" fontId="2" fillId="4" borderId="0" pivotButton="0" quotePrefix="0" xfId="0"/>
    <xf numFmtId="164" fontId="2" fillId="6" borderId="11" pivotButton="0" quotePrefix="0" xfId="0"/>
    <xf numFmtId="164" fontId="2" fillId="6" borderId="0" pivotButton="0" quotePrefix="0" xfId="0"/>
    <xf numFmtId="168" fontId="2" fillId="6" borderId="11" pivotButton="0" quotePrefix="0" xfId="0"/>
    <xf numFmtId="2" fontId="2" fillId="6" borderId="0" pivotButton="0" quotePrefix="0" xfId="0"/>
    <xf numFmtId="0" fontId="2" fillId="6" borderId="0" pivotButton="0" quotePrefix="0" xfId="0"/>
    <xf numFmtId="0" fontId="2" fillId="6" borderId="12" pivotButton="0" quotePrefix="0" xfId="0"/>
    <xf numFmtId="9" fontId="2" fillId="6" borderId="0" pivotButton="0" quotePrefix="0" xfId="0"/>
    <xf numFmtId="3" fontId="15" fillId="6" borderId="25" pivotButton="0" quotePrefix="0" xfId="0"/>
    <xf numFmtId="0" fontId="15" fillId="6" borderId="14" pivotButton="0" quotePrefix="0" xfId="0"/>
    <xf numFmtId="0" fontId="15" fillId="4" borderId="0" pivotButton="0" quotePrefix="0" xfId="0"/>
    <xf numFmtId="3" fontId="15" fillId="6" borderId="13" pivotButton="0" quotePrefix="0" xfId="0"/>
    <xf numFmtId="2" fontId="15" fillId="6" borderId="14" pivotButton="0" quotePrefix="0" xfId="0"/>
    <xf numFmtId="166" fontId="15" fillId="6" borderId="13" pivotButton="0" quotePrefix="0" xfId="0"/>
    <xf numFmtId="166" fontId="15" fillId="6" borderId="14" pivotButton="0" quotePrefix="0" xfId="0"/>
    <xf numFmtId="164" fontId="15" fillId="6" borderId="13" pivotButton="0" quotePrefix="0" xfId="0"/>
    <xf numFmtId="164" fontId="15" fillId="6" borderId="25" pivotButton="0" quotePrefix="0" xfId="0"/>
    <xf numFmtId="168" fontId="15" fillId="6" borderId="13" pivotButton="0" quotePrefix="0" xfId="0"/>
    <xf numFmtId="2" fontId="15" fillId="6" borderId="25" pivotButton="0" quotePrefix="0" xfId="0"/>
    <xf numFmtId="0" fontId="19" fillId="0" borderId="7" applyAlignment="1" pivotButton="0" quotePrefix="0" xfId="0">
      <alignment horizontal="center"/>
    </xf>
    <xf numFmtId="0" fontId="19" fillId="0" borderId="0" applyAlignment="1" pivotButton="0" quotePrefix="0" xfId="0">
      <alignment horizontal="center"/>
    </xf>
    <xf numFmtId="9" fontId="12" fillId="6" borderId="0" applyAlignment="1" pivotButton="0" quotePrefix="0" xfId="0">
      <alignment horizontal="center"/>
    </xf>
    <xf numFmtId="165" fontId="11" fillId="5" borderId="0" applyAlignment="1" pivotButton="0" quotePrefix="0" xfId="0">
      <alignment horizontal="center"/>
    </xf>
    <xf numFmtId="9" fontId="12" fillId="6" borderId="8" applyAlignment="1" pivotButton="0" quotePrefix="0" xfId="0">
      <alignment horizontal="center"/>
    </xf>
    <xf numFmtId="164" fontId="2" fillId="9" borderId="0" pivotButton="0" quotePrefix="0" xfId="0"/>
    <xf numFmtId="164" fontId="2" fillId="10" borderId="0" pivotButton="0" quotePrefix="0" xfId="0"/>
    <xf numFmtId="164" fontId="2" fillId="10" borderId="0" pivotButton="0" quotePrefix="0" xfId="0"/>
    <xf numFmtId="0" fontId="15" fillId="9" borderId="0" pivotButton="0" quotePrefix="0" xfId="0"/>
    <xf numFmtId="0" fontId="15" fillId="10" borderId="0" pivotButton="0" quotePrefix="0" xfId="0"/>
    <xf numFmtId="0" fontId="0" fillId="0" borderId="0" pivotButton="0" quotePrefix="0" xfId="0"/>
    <xf numFmtId="0" fontId="22" fillId="0" borderId="0" pivotButton="0" quotePrefix="0" xfId="0"/>
    <xf numFmtId="0" fontId="23" fillId="0" borderId="0" pivotButton="0" quotePrefix="0" xfId="0"/>
    <xf numFmtId="0" fontId="24" fillId="0" borderId="0" pivotButton="0" quotePrefix="0" xfId="0"/>
    <xf numFmtId="0" fontId="25" fillId="0" borderId="0" pivotButton="0" quotePrefix="0" xfId="0"/>
  </cellXfs>
  <cellStyles count="1">
    <cellStyle name="Normal" xfId="0" builtinId="0"/>
  </cellStyles>
  <dxfs count="2">
    <dxf>
      <font/>
      <fill>
        <patternFill patternType="solid">
          <fgColor rgb="FFB7E1CD"/>
          <bgColor rgb="FFB7E1CD"/>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(5yr)'!$B$5:$BI$5</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(5yr)'!$B$6:$BI$6</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Revenue By Source</a:t>
            </a:r>
          </a:p>
        </rich>
      </tx>
      <overlay val="0"/>
    </title>
    <view3D>
      <rotX val="15"/>
      <rotY val="20"/>
      <rAngAx val="1"/>
    </view3D>
    <plotArea>
      <layout/>
      <bar3DChart>
        <barDir val="col"/>
        <grouping val="stacked"/>
        <ser>
          <idx val="0"/>
          <order val="0"/>
          <tx>
            <v>Token Transfer Tax Revenue Share</v>
          </tx>
          <spPr>
            <a:solidFill>
              <a:srgbClr val="B6D7A8"/>
            </a:solidFill>
            <a:ln cmpd="sng">
              <a:solidFill>
                <a:srgbClr val="000000"/>
              </a:solidFill>
              <a:prstDash val="solid"/>
            </a:ln>
          </spPr>
          <cat>
            <strRef>
              <f>'RAF Cashflow (5yr)'!$B$1:$BI$1</f>
            </strRef>
          </cat>
          <val>
            <numRef>
              <f>'RAF Cashflow (5yr)'!$B$52:$BI$52</f>
              <numCache/>
            </numRef>
          </val>
        </ser>
        <ser>
          <idx val="1"/>
          <order val="1"/>
          <tx>
            <v>Token Minting Fees</v>
          </tx>
          <spPr>
            <a:solidFill>
              <a:srgbClr val="C27BA0"/>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1031 Placement Fees</v>
          </tx>
          <spPr>
            <a:solidFill>
              <a:srgbClr val="9FC5E8"/>
            </a:solidFill>
            <a:ln cmpd="sng">
              <a:solidFill>
                <a:srgbClr val="000000"/>
              </a:solidFill>
              <a:prstDash val="solid"/>
            </a:ln>
          </spPr>
          <dPt>
            <idx val="40"/>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13133327"/>
        <axId val="1112385413"/>
        <axId val="1000"/>
      </bar3DChart>
      <catAx>
        <axId val="11313332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12385413"/>
        <lblOffset val="100"/>
      </catAx>
      <valAx>
        <axId val="111238541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13133327"/>
        <majorUnit val="25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rgbClr val="4285F4"/>
              </a:solidFill>
              <a:ln cmpd="sng">
                <a:solidFill>
                  <a:srgbClr val="000000"/>
                </a:solidFill>
                <a:prstDash val="solid"/>
              </a:ln>
            </spPr>
          </dPt>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71755090"/>
        <axId val="1189675785"/>
        <axId val="1000"/>
      </bar3DChart>
      <catAx>
        <axId val="717550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89675785"/>
        <lblOffset val="100"/>
      </catAx>
      <valAx>
        <axId val="1189675785"/>
        <scaling>
          <orientation val="minMax"/>
          <max val="4000000"/>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cross"/>
        <minorTickMark val="none"/>
        <tickLblPos val="nextTo"/>
        <spPr>
          <a:ln>
            <a:prstDash val="solid"/>
          </a:ln>
        </spPr>
        <txPr>
          <a:bodyPr/>
          <a:lstStyle/>
          <a:p>
            <a:pPr lvl="0">
              <a:defRPr b="0">
                <a:solidFill>
                  <a:srgbClr val="000000"/>
                </a:solidFill>
                <a:latin typeface="+mn-lt"/>
              </a:defRPr>
            </a:pPr>
            <a:r>
              <a:t/>
            </a:r>
          </a:p>
        </txPr>
        <crossAx val="71755090"/>
        <majorUnit val="1000000"/>
        <min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Net Cashflow</a:t>
            </a:r>
          </a:p>
        </rich>
      </tx>
      <overlay val="0"/>
    </title>
    <view3D>
      <rotX val="15"/>
      <rotY val="20"/>
      <rAngAx val="1"/>
    </view3D>
    <plotArea>
      <layout/>
      <bar3DChart>
        <barDir val="col"/>
        <grouping val="clustered"/>
        <ser>
          <idx val="0"/>
          <order val="0"/>
          <tx>
            <strRef>
              <f>'RAF Cashflow (5yr)'!$A$59</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1"/>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2"/>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1"/>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1"/>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2"/>
            <spPr>
              <a:solidFill>
                <a:schemeClr val="accent2"/>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8"/>
            <spPr>
              <a:solidFill>
                <a:schemeClr val="accent2"/>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4"/>
            <spPr>
              <a:solidFill>
                <a:schemeClr val="accent2"/>
              </a:solidFill>
              <a:ln cmpd="sng">
                <a:solidFill>
                  <a:srgbClr val="000000"/>
                </a:solidFill>
                <a:prstDash val="solid"/>
              </a:ln>
            </spPr>
          </dPt>
          <dPt>
            <idx val="46"/>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2"/>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8"/>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(5yr)'!$B$1:$BI$1</f>
            </strRef>
          </cat>
          <val>
            <numRef>
              <f>'RAF Cashflow (5yr)'!$B$59:$BI$59</f>
              <numCache/>
            </numRef>
          </val>
        </ser>
        <gapWidth val="150"/>
        <gapDepth val="150"/>
        <axId val="747360899"/>
        <axId val="1538132712"/>
        <axId val="1000"/>
      </bar3DChart>
      <catAx>
        <axId val="7473608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38132712"/>
        <lblOffset val="100"/>
      </catAx>
      <valAx>
        <axId val="1538132712"/>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47360899"/>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dPt>
            <idx val="37"/>
            <spPr>
              <a:ln>
                <a:prstDash val="solid"/>
              </a:ln>
            </spPr>
          </dPt>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6"/>
            </a:solidFill>
            <a:ln cmpd="sng">
              <a:solidFill>
                <a:srgbClr val="000000"/>
              </a:solidFill>
              <a:prstDash val="solid"/>
            </a:ln>
          </spPr>
          <cat>
            <strRef>
              <f>'Resource Supply (5yr)'!$B$1:$BI$1</f>
            </strRef>
          </cat>
          <val>
            <numRef>
              <f>'Resource Supply (5yr)'!$B$7:$BI$7</f>
              <numCache/>
            </numRef>
          </val>
        </ser>
        <gapWidth val="150"/>
        <axId val="1639803505"/>
        <axId val="243695260"/>
      </barChart>
      <catAx>
        <axId val="163980350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243695260"/>
        <lblOffset val="100"/>
      </catAx>
      <valAx>
        <axId val="24369526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solidFill/>
            <a:prstDash val="solid"/>
          </a:ln>
        </spPr>
        <txPr>
          <a:bodyPr/>
          <a:lstStyle/>
          <a:p>
            <a:pPr lvl="0">
              <a:defRPr b="0">
                <a:solidFill>
                  <a:srgbClr val="000000"/>
                </a:solidFill>
                <a:latin typeface="+mn-lt"/>
              </a:defRPr>
            </a:pPr>
            <a:r>
              <a:t/>
            </a:r>
          </a:p>
        </txPr>
        <crossAx val="1639803505"/>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Registered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Authorized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Unlocked Resources</v>
          </tx>
          <spPr>
            <a:solidFill>
              <a:schemeClr val="accent6"/>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gapDepth val="150"/>
        <axId val="562500095"/>
        <axId val="576039624"/>
        <axId val="1000"/>
      </bar3DChart>
      <catAx>
        <axId val="56250009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576039624"/>
        <lblOffset val="100"/>
      </catAx>
      <valAx>
        <axId val="57603962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prstDash val="solid"/>
          </a:ln>
        </spPr>
        <txPr>
          <a:bodyPr/>
          <a:lstStyle/>
          <a:p>
            <a:pPr lvl="0">
              <a:defRPr b="0">
                <a:solidFill>
                  <a:srgbClr val="000000"/>
                </a:solidFill>
                <a:latin typeface="+mn-lt"/>
              </a:defRPr>
            </a:pPr>
            <a:r>
              <a:t/>
            </a:r>
          </a:p>
        </txPr>
        <crossAx val="56250009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(oz)</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(5yr)'!$B$3:$BI$3</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(5yr)'!$B$4:$BI$4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Trading Volume</a:t>
            </a:r>
          </a:p>
        </rich>
      </tx>
      <overlay val="0"/>
    </title>
    <plotArea>
      <layout/>
      <barChart>
        <barDir val="col"/>
        <grouping val="stacked"/>
        <ser>
          <idx val="0"/>
          <order val="0"/>
          <tx>
            <v>Centralized Exchange (CEX)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Decentralized Exchange (DEX)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733144069"/>
        <axId val="1145365003"/>
      </barChart>
      <catAx>
        <axId val="73314406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45365003"/>
        <lblOffset val="100"/>
      </catAx>
      <valAx>
        <axId val="1145365003"/>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733144069"/>
      </valAx>
    </plotArea>
    <legend>
      <legendPos val="t"/>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837971515"/>
        <axId val="1791893250"/>
        <axId val="1000"/>
      </bar3DChart>
      <catAx>
        <axId val="8379715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791893250"/>
        <lblOffset val="100"/>
      </catAx>
      <valAx>
        <axId val="179189325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83797151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4"/>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505350122"/>
        <axId val="1841129053"/>
        <axId val="1000"/>
      </bar3DChart>
      <catAx>
        <axId val="50535012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841129053"/>
        <lblOffset val="100"/>
      </catAx>
      <valAx>
        <axId val="184112905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0535012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Revenue By Source</a:t>
            </a:r>
          </a:p>
        </rich>
      </tx>
      <overlay val="0"/>
    </title>
    <view3D>
      <rotX val="15"/>
      <rotY val="20"/>
      <rAngAx val="1"/>
    </view3D>
    <plotArea>
      <layout/>
      <bar3DChart>
        <barDir val="col"/>
        <grouping val="stacked"/>
        <ser>
          <idx val="0"/>
          <order val="0"/>
          <tx>
            <v>Market Making Revenue</v>
          </tx>
          <spPr>
            <a:solidFill>
              <a:srgbClr val="38761D"/>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6AA84F"/>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B6D7A8"/>
            </a:solidFill>
            <a:ln cmpd="sng">
              <a:solidFill>
                <a:srgbClr val="000000"/>
              </a:solidFill>
              <a:prstDash val="solid"/>
            </a:ln>
          </spPr>
          <cat>
            <strRef>
              <f>'RGT Cashflow (5yr)'!$B$1:$BI$1</f>
            </strRef>
          </cat>
          <val>
            <numRef>
              <f>'RGT Cashflow (5yr)'!$B$44:$BI$44</f>
              <numCache/>
            </numRef>
          </val>
        </ser>
        <gapWidth val="150"/>
        <gapDepth val="150"/>
        <axId val="57103993"/>
        <axId val="1957621964"/>
        <axId val="1000"/>
      </bar3DChart>
      <catAx>
        <axId val="5710399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57621964"/>
        <lblOffset val="100"/>
      </catAx>
      <valAx>
        <axId val="195762196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710399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Registered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Released Resources</v>
          </tx>
          <spPr>
            <a:solidFill>
              <a:schemeClr val="accent4"/>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axId val="1814564490"/>
        <axId val="875683575"/>
      </barChart>
      <catAx>
        <axId val="18145644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875683575"/>
        <lblOffset val="100"/>
      </catAx>
      <valAx>
        <axId val="87568357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1456449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4"/>
            </a:solidFill>
            <a:ln cmpd="sng">
              <a:solidFill>
                <a:srgbClr val="000000"/>
              </a:solidFill>
              <a:prstDash val="solid"/>
            </a:ln>
          </spPr>
          <cat>
            <strRef>
              <f>'Resource Supply (5yr)'!$B$1:$BI$1</f>
            </strRef>
          </cat>
          <val>
            <numRef>
              <f>'Resource Supply (5yr)'!$B$7:$BI$7</f>
              <numCache/>
            </numRef>
          </val>
        </ser>
        <gapWidth val="150"/>
        <gapDepth val="150"/>
        <axId val="1180662876"/>
        <axId val="784150562"/>
        <axId val="1000"/>
      </bar3DChart>
      <catAx>
        <axId val="118066287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784150562"/>
        <lblOffset val="100"/>
      </catAx>
      <valAx>
        <axId val="78415056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
            </a:r>
          </a:p>
        </txPr>
        <crossAx val="1180662876"/>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Token Trading Volume</a:t>
            </a:r>
          </a:p>
        </rich>
      </tx>
      <overlay val="0"/>
    </title>
    <plotArea>
      <layout/>
      <barChart>
        <barDir val="col"/>
        <grouping val="stacked"/>
        <ser>
          <idx val="0"/>
          <order val="0"/>
          <tx>
            <v>DEX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CEX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1043925691"/>
        <axId val="566250148"/>
      </barChart>
      <catAx>
        <axId val="10439256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566250148"/>
        <lblOffset val="100"/>
      </catAx>
      <valAx>
        <axId val="56625014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1043925691"/>
      </valAx>
    </plotArea>
    <legend>
      <legendPos val="r"/>
      <overlay val="0"/>
      <txPr>
        <a:bodyPr/>
        <a:lstStyle/>
        <a:p>
          <a:pPr lvl="0">
            <a:defRPr b="0">
              <a:solidFill>
                <a:srgbClr val="1A1A1A"/>
              </a:solidFill>
              <a:latin typeface="+mn-lt"/>
            </a:defRPr>
          </a:pPr>
          <a:r>
            <a:t/>
          </a:r>
        </a:p>
      </txPr>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 LLC Cashflow'!$A$50</f>
            </strRef>
          </tx>
          <spPr>
            <a:solidFill>
              <a:schemeClr val="accent1"/>
            </a:solidFill>
            <a:ln cmpd="sng">
              <a:solidFill>
                <a:srgbClr val="000000"/>
              </a:solidFill>
              <a:prstDash val="solid"/>
            </a:ln>
          </spPr>
          <cat>
            <strRef>
              <f>'RA LLC Cashflow'!$B$1:$BI$1</f>
            </strRef>
          </cat>
          <val>
            <numRef>
              <f>'RA LLC Cashflow'!$B$50:$BI$50</f>
              <numCache/>
            </numRef>
          </val>
        </ser>
        <ser>
          <idx val="1"/>
          <order val="1"/>
          <tx>
            <strRef>
              <f>'RA LLC Cashflow'!$A$1</f>
            </strRef>
          </tx>
          <spPr>
            <a:ln>
              <a:prstDash val="solid"/>
            </a:ln>
          </spPr>
          <cat>
            <strRef>
              <f>'RA LLC Cashflow'!$B$1:$BI$1</f>
            </strRef>
          </cat>
          <val>
            <numRef>
              <f>'RA LLC Cashflow'!$B$1:$BI$1</f>
              <numCache/>
            </numRef>
          </val>
        </ser>
        <gapWidth val="150"/>
        <gapDepth val="150"/>
        <axId val="387568600"/>
        <axId val="408597344"/>
        <axId val="1000"/>
      </bar3DChart>
      <catAx>
        <axId val="38756860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408597344"/>
        <lblOffset val="100"/>
      </catAx>
      <valAx>
        <axId val="40859734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3875686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 LLC Cashflow'!$B$1:$BI$1</f>
            </strRef>
          </cat>
          <val>
            <numRef>
              <f>'RA LLC Cashflow'!$B$10:$BI$10</f>
              <numCache/>
            </numRef>
          </val>
        </ser>
        <ser>
          <idx val="1"/>
          <order val="1"/>
          <tx>
            <v>Expenditures</v>
          </tx>
          <spPr>
            <a:solidFill>
              <a:srgbClr val="E06666"/>
            </a:solidFill>
            <a:ln cmpd="sng">
              <a:solidFill>
                <a:srgbClr val="000000"/>
              </a:solidFill>
              <a:prstDash val="solid"/>
            </a:ln>
          </spPr>
          <cat>
            <strRef>
              <f>'RA LLC Cashflow'!$B$1:$BI$1</f>
            </strRef>
          </cat>
          <val>
            <numRef>
              <f>'RA LLC Cashflow'!$B$26:$BI$26</f>
              <numCache/>
            </numRef>
          </val>
        </ser>
        <gapWidth val="150"/>
        <gapDepth val="150"/>
        <axId val="1289286354"/>
        <axId val="677350270"/>
        <axId val="1000"/>
      </bar3DChart>
      <catAx>
        <axId val="1289286354"/>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77350270"/>
        <lblOffset val="100"/>
      </catAx>
      <valAx>
        <axId val="67735027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89286354"/>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1"/>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2"/>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2"/>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2"/>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9"/>
            <spPr>
              <a:solidFill>
                <a:schemeClr val="accent1"/>
              </a:solidFill>
              <a:ln cmpd="sng">
                <a:solidFill>
                  <a:srgbClr val="000000"/>
                </a:solidFill>
                <a:prstDash val="solid"/>
              </a:ln>
            </spPr>
          </dPt>
          <dPt>
            <idx val="60"/>
            <spPr>
              <a:solidFill>
                <a:schemeClr val="accent2"/>
              </a:solidFill>
              <a:ln cmpd="sng">
                <a:solidFill>
                  <a:srgbClr val="000000"/>
                </a:solidFill>
                <a:prstDash val="solid"/>
              </a:ln>
            </spPr>
          </dPt>
          <cat>
            <strRef>
              <f>'RA LLC Cashflow'!$A$1:$BI$1</f>
            </strRef>
          </cat>
          <val>
            <numRef>
              <f>'RA LLC Cashflow'!$A$49:$BI$49</f>
              <numCache/>
            </numRef>
          </val>
        </ser>
        <ser>
          <idx val="1"/>
          <order val="1"/>
          <spPr>
            <a:ln>
              <a:prstDash val="solid"/>
            </a:ln>
          </spPr>
          <cat>
            <strRef>
              <f>'RA LLC Cashflow'!$A$1:$BI$1</f>
            </strRef>
          </cat>
          <val>
            <numRef>
              <f>'RA LLC Cashflow'!$A$1:$BI$1</f>
              <numCache/>
            </numRef>
          </val>
        </ser>
        <gapWidth val="150"/>
        <gapDepth val="150"/>
        <axId val="639209272"/>
        <axId val="308371897"/>
        <axId val="1000"/>
      </bar3DChart>
      <catAx>
        <axId val="6392092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308371897"/>
        <lblOffset val="100"/>
      </catAx>
      <valAx>
        <axId val="308371897"/>
        <scaling>
          <orientation val="minMax"/>
          <min val="-2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639209272"/>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Swap Fees</v>
          </tx>
          <spPr>
            <a:solidFill>
              <a:schemeClr val="accent5"/>
            </a:solidFill>
            <a:ln cmpd="sng">
              <a:solidFill>
                <a:srgbClr val="000000"/>
              </a:solidFill>
              <a:prstDash val="solid"/>
            </a:ln>
          </spPr>
          <cat>
            <strRef>
              <f>'RA LLC Cashflow'!$B$1:$BI$1</f>
            </strRef>
          </cat>
          <val>
            <numRef>
              <f>'RA LLC Cashflow'!$B$42:$BI$42</f>
              <numCache/>
            </numRef>
          </val>
        </ser>
        <ser>
          <idx val="1"/>
          <order val="1"/>
          <tx>
            <v>Token Tax Fees (to RGT)</v>
          </tx>
          <spPr>
            <a:solidFill>
              <a:srgbClr val="E69138"/>
            </a:solidFill>
            <a:ln cmpd="sng">
              <a:solidFill>
                <a:srgbClr val="000000"/>
              </a:solidFill>
              <a:prstDash val="solid"/>
            </a:ln>
          </spPr>
          <dPt>
            <idx val="39"/>
            <spPr>
              <a:ln>
                <a:prstDash val="solid"/>
              </a:ln>
            </spPr>
          </dPt>
          <cat>
            <strRef>
              <f>'RA LLC Cashflow'!$B$1:$BI$1</f>
            </strRef>
          </cat>
          <val>
            <numRef>
              <f>'RA LLC Cashflow'!$B$41:$BI$41</f>
              <numCache/>
            </numRef>
          </val>
        </ser>
        <ser>
          <idx val="2"/>
          <order val="2"/>
          <tx>
            <v>Token Tax Fees (to RAF)</v>
          </tx>
          <spPr>
            <a:solidFill>
              <a:srgbClr val="F9CB9C"/>
            </a:solidFill>
            <a:ln cmpd="sng">
              <a:solidFill>
                <a:srgbClr val="000000"/>
              </a:solidFill>
              <a:prstDash val="solid"/>
            </a:ln>
          </spPr>
          <cat>
            <strRef>
              <f>'RA LLC Cashflow'!$B$1:$BI$1</f>
            </strRef>
          </cat>
          <val>
            <numRef>
              <f>'RA LLC Cashflow'!$B$40:$BI$40</f>
              <numCache/>
            </numRef>
          </val>
        </ser>
        <gapWidth val="150"/>
        <gapDepth val="150"/>
        <axId val="13037815"/>
        <axId val="1558476168"/>
        <axId val="1000"/>
      </bar3DChart>
      <catAx>
        <axId val="130378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58476168"/>
        <lblOffset val="100"/>
      </catAx>
      <valAx>
        <axId val="155847616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3037815"/>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1232229591"/>
        <axId val="1403521661"/>
        <axId val="1000"/>
      </bar3DChart>
      <catAx>
        <axId val="12322295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03521661"/>
        <lblOffset val="100"/>
      </catAx>
      <valAx>
        <axId val="140352166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3222959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'RAF Cashflow (5yr)'!$B$1:$BI$1</f>
            </strRef>
          </cat>
          <val>
            <numRef>
              <f>'RAF Cashflow (5yr)'!$B$13:$BI$13</f>
              <numCache/>
            </numRef>
          </val>
        </ser>
        <ser>
          <idx val="1"/>
          <order val="1"/>
          <tx>
            <v>Expenditures</v>
          </tx>
          <spPr>
            <a:solidFill>
              <a:srgbClr val="E06666"/>
            </a:solidFill>
            <a:ln cmpd="sng">
              <a:solidFill>
                <a:srgbClr val="000000"/>
              </a:solidFill>
              <a:prstDash val="solid"/>
            </a:ln>
          </spPr>
          <cat>
            <strRef>
              <f>'RAF Cashflow (5yr)'!$B$1:$BI$1</f>
            </strRef>
          </cat>
          <val>
            <numRef>
              <f>'RAF Cashflow (5yr)'!$B$35:$BI$35</f>
              <numCache/>
            </numRef>
          </val>
        </ser>
        <gapWidth val="150"/>
        <gapDepth val="150"/>
        <axId val="2043543621"/>
        <axId val="645058955"/>
        <axId val="1000"/>
      </bar3DChart>
      <catAx>
        <axId val="204354362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45058955"/>
        <lblOffset val="100"/>
      </catAx>
      <valAx>
        <axId val="64505895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04354362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1"/>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0"/>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5"/>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2"/>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2"/>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7"/>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(5yr)'!$A$1:$BI$1</f>
            </strRef>
          </cat>
          <val>
            <numRef>
              <f>'RAF Cashflow (5yr)'!$A$59:$BI$59</f>
              <numCache/>
            </numRef>
          </val>
        </ser>
        <ser>
          <idx val="1"/>
          <order val="1"/>
          <spPr>
            <a:ln>
              <a:prstDash val="solid"/>
            </a:ln>
          </spPr>
          <cat>
            <strRef>
              <f>'RAF Cashflow (5yr)'!$A$1:$BI$1</f>
            </strRef>
          </cat>
          <val>
            <numRef>
              <f>'RAF Cashflow (5yr)'!$A$1:$BI$1</f>
              <numCache/>
            </numRef>
          </val>
        </ser>
        <gapWidth val="150"/>
        <gapDepth val="150"/>
        <axId val="1856436675"/>
        <axId val="1424656825"/>
        <axId val="1000"/>
      </bar3DChart>
      <catAx>
        <axId val="185643667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24656825"/>
        <lblOffset val="100"/>
      </catAx>
      <valAx>
        <axId val="1424656825"/>
        <scaling>
          <orientation val="minMax"/>
          <max val="1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56436675"/>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Transfer Tax Revenue Share</v>
          </tx>
          <spPr>
            <a:solidFill>
              <a:schemeClr val="accent5"/>
            </a:solidFill>
            <a:ln cmpd="sng">
              <a:solidFill>
                <a:srgbClr val="000000"/>
              </a:solidFill>
              <a:prstDash val="solid"/>
            </a:ln>
          </spPr>
          <cat>
            <strRef>
              <f>'RAF Cashflow (5yr)'!$B$1:$BI$1</f>
            </strRef>
          </cat>
          <val>
            <numRef>
              <f>'RAF Cashflow (5yr)'!$B$52:$BI$52</f>
              <numCache/>
            </numRef>
          </val>
        </ser>
        <ser>
          <idx val="1"/>
          <order val="1"/>
          <tx>
            <v>Token Minting Fees</v>
          </tx>
          <spPr>
            <a:solidFill>
              <a:srgbClr val="E69138"/>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 xml:space="preserve">1031 Placement Fees </v>
          </tx>
          <spPr>
            <a:solidFill>
              <a:srgbClr val="F9CB9C"/>
            </a:solidFill>
            <a:ln cmpd="sng">
              <a:solidFill>
                <a:srgbClr val="000000"/>
              </a:solidFill>
              <a:prstDash val="solid"/>
            </a:ln>
          </spPr>
          <dPt>
            <idx val="45"/>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480427872"/>
        <axId val="1355201901"/>
        <axId val="1000"/>
      </bar3DChart>
      <catAx>
        <axId val="14804278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5201901"/>
        <lblOffset val="100"/>
      </catAx>
      <valAx>
        <axId val="135520190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480427872"/>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1799764932"/>
        <axId val="1171335257"/>
        <axId val="1000"/>
      </bar3DChart>
      <catAx>
        <axId val="17997649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71335257"/>
        <lblOffset val="100"/>
      </catAx>
      <valAx>
        <axId val="117133525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799764932"/>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'RGT Cashflow (5yr)'!$B$1:$BI$1</f>
            </strRef>
          </cat>
          <val>
            <numRef>
              <f>'RGT Cashflow (5yr)'!$B$8:$BI$8</f>
              <numCache/>
            </numRef>
          </val>
        </ser>
        <ser>
          <idx val="1"/>
          <order val="1"/>
          <tx>
            <v>Expenditures</v>
          </tx>
          <spPr>
            <a:solidFill>
              <a:srgbClr val="E06666"/>
            </a:solidFill>
            <a:ln cmpd="sng">
              <a:solidFill>
                <a:srgbClr val="000000"/>
              </a:solidFill>
              <a:prstDash val="solid"/>
            </a:ln>
          </spPr>
          <cat>
            <strRef>
              <f>'RGT Cashflow (5yr)'!$B$1:$BI$1</f>
            </strRef>
          </cat>
          <val>
            <numRef>
              <f>'RGT Cashflow (5yr)'!$B$31:$BI$31</f>
              <numCache/>
            </numRef>
          </val>
        </ser>
        <gapWidth val="150"/>
        <gapDepth val="150"/>
        <axId val="1684215270"/>
        <axId val="1969113481"/>
        <axId val="1000"/>
      </bar3DChart>
      <catAx>
        <axId val="168421527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69113481"/>
        <lblOffset val="100"/>
      </catAx>
      <valAx>
        <axId val="196911348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68421527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2135218432"/>
        <axId val="1353457556"/>
        <axId val="1000"/>
      </bar3DChart>
      <catAx>
        <axId val="21352184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3457556"/>
        <lblOffset val="100"/>
      </catAx>
      <valAx>
        <axId val="1353457556"/>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13521843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Market Making Revenue</v>
          </tx>
          <spPr>
            <a:solidFill>
              <a:schemeClr val="accent5"/>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E69138"/>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F9CB9C"/>
            </a:solidFill>
            <a:ln cmpd="sng">
              <a:solidFill>
                <a:srgbClr val="000000"/>
              </a:solidFill>
              <a:prstDash val="solid"/>
            </a:ln>
          </spPr>
          <cat>
            <strRef>
              <f>'RGT Cashflow (5yr)'!$B$1:$BI$1</f>
            </strRef>
          </cat>
          <val>
            <numRef>
              <f>'RGT Cashflow (5yr)'!$B$44:$BI$44</f>
              <numCache/>
            </numRef>
          </val>
        </ser>
        <gapWidth val="150"/>
        <gapDepth val="150"/>
        <axId val="758576103"/>
        <axId val="150776018"/>
        <axId val="1000"/>
      </bar3DChart>
      <catAx>
        <axId val="75857610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0776018"/>
        <lblOffset val="100"/>
      </catAx>
      <valAx>
        <axId val="15077601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5857610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omments/comment1.xml><?xml version="1.0" encoding="utf-8"?>
<comments xmlns="http://schemas.openxmlformats.org/spreadsheetml/2006/main">
  <authors>
    <author>None</author>
  </authors>
  <commentList>
    <comment ref="A1" authorId="0" shapeId="0">
      <text>
        <t>doesn't carry debt from months before as that will be paid in keepons.
	-Ishan Shapiro
----
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2.xml><?xml version="1.0" encoding="utf-8"?>
<comments xmlns="http://schemas.openxmlformats.org/spreadsheetml/2006/main">
  <authors>
    <author>None</author>
  </authors>
  <commentList>
    <comment ref="A3" authorId="0" shapeId="0">
      <text>
        <t>create scenarios here, with dropdowns.
	-Ishan Shapiro</t>
      </text>
    </comment>
    <comment ref="A37" authorId="0" shapeId="0">
      <text>
        <t>How much RealGold is locked in pools.
	-Ishan Shapiro</t>
      </text>
    </comment>
    <comment ref="A38" authorId="0" shapeId="0">
      <text>
        <t>Fees earned from transactions (typically 0.3% on DEXs)
	-Ishan Shapiro</t>
      </text>
    </comment>
    <comment ref="A43" authorId="0" shapeId="0">
      <text>
        <t>Amount of RealGold tokens allowed for market-making.
	-Ishan Shapiro</t>
      </text>
    </comment>
  </commentList>
</comments>
</file>

<file path=xl/comments/comment3.xml><?xml version="1.0" encoding="utf-8"?>
<comments xmlns="http://schemas.openxmlformats.org/spreadsheetml/2006/main">
  <authors>
    <author>None</author>
  </authors>
  <commentList>
    <comment ref="Q1" authorId="0" shapeId="0">
      <text>
        <t>20% of Lifetime Release (LTR)
	-Ishan Shapiro</t>
      </text>
    </comment>
    <comment ref="R1" authorId="0" shapeId="0">
      <text>
        <t>1% of Authorized Assets
	-Ishan Shapiro</t>
      </text>
    </comment>
    <comment ref="S1" authorId="0" shapeId="0">
      <text>
        <t>0.5% of Authorized Assets
	-Ishan Shapiro</t>
      </text>
    </comment>
    <comment ref="T1" authorId="0" shapeId="0">
      <text>
        <t>0.5% of authorized assets
	-Ishan Shapiro</t>
      </text>
    </comment>
    <comment ref="U1" authorId="0" shapeId="0">
      <text>
        <t>Pulled from the Admin Units Pool of 0.5% of authorized assets for 50 years, then paid by Stewardship Trust.
	-Ishan Shapiro</t>
      </text>
    </comment>
    <comment ref="V1" authorId="0" shapeId="0">
      <text>
        <t>0.5% of authorized assets in equal payments spread across the release schedule.
	-Ishan Shapiro</t>
      </text>
    </comment>
    <comment ref="W1" authorId="0" shapeId="0">
      <text>
        <t>Yearly Unlock = (Lifetime Release Au - Year 1 unlock - Liquidity Allocation - Unitization Fee Pool - Admin Units Pool - Grantor Comp) / # of Years of release schedule
	-Ishan Shapiro</t>
      </text>
    </comment>
    <comment ref="V2" authorId="0" shapeId="0">
      <text>
        <t>instead of spreading the Unitization fee of 0.5% of authorized assets across the # of release years, for Courbet, we're taking up front. Therefore there is no ongoing yearly unitization fee for Courbet. There is still the Trustee Admin Fee of basis point annually
	-Ishan Shapiro</t>
      </text>
    </comment>
  </commentList>
</comments>
</file>

<file path=xl/comments/comment4.xml><?xml version="1.0" encoding="utf-8"?>
<comments xmlns="http://schemas.openxmlformats.org/spreadsheetml/2006/main">
  <authors>
    <author>None</author>
  </authors>
  <commentList>
    <comment ref="A4" authorId="0" shapeId="0">
      <text>
        <t>RealGold Liquidity Supply from Trusts:
(Yearly Release / % of tokens sold vs held) * % of tokens sold per month
considering that Trusts may liquidate a certain percentage of their yearly release, each month, and won't necessarily liquidate their whole supply to market in one go.
	-Ishan Shapiro</t>
      </text>
    </comment>
    <comment ref="A9" authorId="0" shapeId="0">
      <text>
        <t>Either via 'leasing' the Trusts' next year's release for one year, or by stipulating a certain amount total reserves (outside unlock amount) to be leased to RealGold DAO LLC for liquidity management.
	-Ishan Shapiro</t>
      </text>
    </comment>
    <comment ref="A35" authorId="0" shapeId="0">
      <text>
        <t>impermanent loss is only felt at the time we withdraw assets from the pool. We're not looking to withdraw assets from the pool, just add more over the 5 years. so I'm not sure we need to model this here in this way.
	-Ishan Shapiro
----
Aim for about 0.5x to 1x daily turnover initially.
	-Ishan Shapiro</t>
      </text>
    </comment>
  </commentList>
</comments>
</file>

<file path=xl/comments/comment5.xml><?xml version="1.0" encoding="utf-8"?>
<comments xmlns="http://schemas.openxmlformats.org/spreadsheetml/2006/main">
  <authors>
    <author>None</author>
  </authors>
  <commentList>
    <comment ref="J15" authorId="0" shapeId="0">
      <text>
        <t>patentability opinion from Joe Trojan
	-Ishan Shapiro</t>
      </text>
    </comment>
    <comment ref="I16" authorId="0" shapeId="0">
      <text>
        <t>estimated full cost of membership and attendance at FEA conference
	-Ishan Shapiro</t>
      </text>
    </comment>
    <comment ref="J20" authorId="0" shapeId="0">
      <text>
        <t>Crypto Treasury Regulated Entity 
Formation
	-Ishan Shapiro</t>
      </text>
    </comment>
  </commentList>
</comments>
</file>

<file path=xl/comments/comment6.xml><?xml version="1.0" encoding="utf-8"?>
<comments xmlns="http://schemas.openxmlformats.org/spreadsheetml/2006/main">
  <authors>
    <author>None</author>
  </authors>
  <commentList>
    <comment ref="A2" authorId="0" shapeId="0">
      <text>
        <t>Are we missing a DST interest Inventory / sales manager position?
	-Ishan Shapiro</t>
      </text>
    </comment>
    <comment ref="B14" authorId="0" shapeId="0">
      <text>
        <t>carryover from previous year's debt accrual, found in "Keepon Accrual" sheet
	-Ishan Shapiro</t>
      </text>
    </comment>
    <comment ref="N14" authorId="0" shapeId="0">
      <text>
        <t>includes "Expenditures" tab totals, to be paid back in Keepons.
	-Ishan Shapiro</t>
      </text>
    </comment>
    <comment ref="AF14" authorId="0" shapeId="0">
      <text>
        <t>Deferred Compensation ends.
	-Ishan Shapiro</t>
      </text>
    </comment>
    <comment ref="A33" authorId="0" shapeId="0">
      <text>
        <t>$1500/month/employee for Health...they say 20-30% above base salaries to cover all payroll related expenses (for full time employees)
	-Ishan Shapiro</t>
      </text>
    </comment>
    <comment ref="A39" authorId="0" shapeId="0">
      <text>
        <t>In this scenario, we are splitting the Keepon debt responsibility between RAF and RGT. RAF takes responsibility for the amount of all investment in RA LLC, minus the Keepon debt from capital infusions to RGT.
	-Ishan Shapiro</t>
      </text>
    </comment>
    <comment ref="A40" authorId="0" shapeId="0">
      <text>
        <t>In this scenario, we are putting the full liability of the Deferred Compensation debt onto Real Assets Foundation.
	-Ishan Shapiro</t>
      </text>
    </comment>
    <comment ref="AF40" authorId="0" shapeId="0">
      <text>
        <t>Payout of deferred compensation starts here.
	-Ishan Shapiro</t>
      </text>
    </comment>
    <comment ref="A60" authorId="0" shapeId="0">
      <text>
        <t>how much cash we're holding
	-Ishan Shapiro</t>
      </text>
    </comment>
    <comment ref="D60" authorId="0" shapeId="0">
      <text>
        <t>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7.xml><?xml version="1.0" encoding="utf-8"?>
<comments xmlns="http://schemas.openxmlformats.org/spreadsheetml/2006/main">
  <authors>
    <author>None</author>
  </authors>
  <commentList>
    <comment ref="H21" authorId="0" shapeId="0">
      <text>
        <t>before incorporations and banking, paid via Real Assets LLC
	-Ishan Shapiro</t>
      </text>
    </comment>
  </commentList>
</comments>
</file>

<file path=xl/comments/comment8.xml><?xml version="1.0" encoding="utf-8"?>
<comments xmlns="http://schemas.openxmlformats.org/spreadsheetml/2006/main">
  <authors>
    <author>None</author>
  </authors>
  <commentList>
    <comment ref="AN1" authorId="0" shapeId="0">
      <text>
        <t>Employee Deferred Compensation ends. By Jul' 27 we have reached positive momentum with cashflow and no longer need to reduce costs by deferring compensation. This is also when it makes sense to start paying out that deferred compensation - see RAF Cashflow.
	-Ishan Shapiro</t>
      </text>
    </comment>
    <comment ref="C5" authorId="0" shapeId="0">
      <text>
        <t>During this time, Fer also received compensation from Coventina Foundation for work on RealGold.
	-Ishan Shapiro</t>
      </text>
    </comment>
  </commentList>
</comments>
</file>

<file path=xl/comments/comment9.xml><?xml version="1.0" encoding="utf-8"?>
<comments xmlns="http://schemas.openxmlformats.org/spreadsheetml/2006/main">
  <authors>
    <author>None</author>
  </authors>
  <commentList>
    <comment ref="D24" authorId="0" shapeId="0">
      <text>
        <t>these are estimates, Art will fill in details
	-Ishan Shapiro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_rels/drawing3.xml.rels><Relationships xmlns="http://schemas.openxmlformats.org/package/2006/relationships"><Relationship Type="http://schemas.openxmlformats.org/officeDocument/2006/relationships/chart" Target="/xl/charts/chart18.xml" Id="rId1" /></Relationships>
</file>

<file path=xl/drawings/_rels/drawing4.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s>
</file>

<file path=xl/drawings/_rels/drawing5.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 Type="http://schemas.openxmlformats.org/officeDocument/2006/relationships/chart" Target="/xl/charts/chart25.xml" Id="rId3" /><Relationship Type="http://schemas.openxmlformats.org/officeDocument/2006/relationships/chart" Target="/xl/charts/chart26.xml" Id="rId4" /></Relationships>
</file>

<file path=xl/drawings/_rels/drawing6.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85725</colOff>
      <row>34</row>
      <rowOff>9525</rowOff>
    </from>
    <ext cx="8943975" cy="64770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12</col>
      <colOff>133350</colOff>
      <row>66</row>
      <rowOff>114300</rowOff>
    </from>
    <ext cx="8943975" cy="64960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133350</colOff>
      <row>1</row>
      <rowOff>104775</rowOff>
    </from>
    <ext cx="8943975" cy="64865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12</col>
      <colOff>133350</colOff>
      <row>34</row>
      <rowOff>9525</rowOff>
    </from>
    <ext cx="8943975" cy="6477000"/>
    <graphicFrame>
      <nvGraphicFramePr>
        <cNvPr id="4" name="Chart 4"/>
        <cNvGraphicFramePr/>
      </nvGraphicFramePr>
      <xfrm/>
      <a:graphic>
        <a:graphicData uri="http://schemas.openxmlformats.org/drawingml/2006/chart">
          <c:chart r:id="rId4"/>
        </a:graphicData>
      </a:graphic>
    </graphicFrame>
    <clientData fLocksWithSheet="0"/>
  </oneCellAnchor>
  <oneCellAnchor>
    <from>
      <col>0</col>
      <colOff>95250</colOff>
      <row>1</row>
      <rowOff>104775</rowOff>
    </from>
    <ext cx="8943975" cy="64770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3</col>
      <colOff>85725</colOff>
      <row>1</row>
      <rowOff>123825</rowOff>
    </from>
    <ext cx="8943975" cy="6477000"/>
    <graphicFrame>
      <nvGraphicFramePr>
        <cNvPr id="6" name="Chart 6"/>
        <cNvGraphicFramePr/>
      </nvGraphicFramePr>
      <xfrm/>
      <a:graphic>
        <a:graphicData uri="http://schemas.openxmlformats.org/drawingml/2006/chart">
          <c:chart r:id="rId6"/>
        </a:graphicData>
      </a:graphic>
    </graphicFrame>
    <clientData fLocksWithSheet="0"/>
  </oneCellAnchor>
  <oneCellAnchor>
    <from>
      <col>0</col>
      <colOff>0</colOff>
      <row>101</row>
      <rowOff>57150</rowOff>
    </from>
    <ext cx="8848725" cy="6486525"/>
    <graphicFrame>
      <nvGraphicFramePr>
        <cNvPr id="7" name="Chart 7"/>
        <cNvGraphicFramePr/>
      </nvGraphicFramePr>
      <xfrm/>
      <a:graphic>
        <a:graphicData uri="http://schemas.openxmlformats.org/drawingml/2006/chart">
          <c:chart r:id="rId7"/>
        </a:graphicData>
      </a:graphic>
    </graphicFrame>
    <clientData fLocksWithSheet="0"/>
  </oneCellAnchor>
  <oneCellAnchor>
    <from>
      <col>3</col>
      <colOff>85725</colOff>
      <row>66</row>
      <rowOff>104775</rowOff>
    </from>
    <ext cx="8943975" cy="6496050"/>
    <graphicFrame>
      <nvGraphicFramePr>
        <cNvPr id="8" name="Chart 8"/>
        <cNvGraphicFramePr/>
      </nvGraphicFramePr>
      <xfrm/>
      <a:graphic>
        <a:graphicData uri="http://schemas.openxmlformats.org/drawingml/2006/chart">
          <c:chart r:id="rId8"/>
        </a:graphicData>
      </a:graphic>
    </graphicFrame>
    <clientData fLocksWithSheet="0"/>
  </oneCellAnchor>
  <oneCellAnchor>
    <from>
      <col>0</col>
      <colOff>95250</colOff>
      <row>34</row>
      <rowOff>9525</rowOff>
    </from>
    <ext cx="8943975" cy="6477000"/>
    <graphicFrame>
      <nvGraphicFramePr>
        <cNvPr id="9" name="Chart 9"/>
        <cNvGraphicFramePr/>
      </nvGraphicFramePr>
      <xfrm/>
      <a:graphic>
        <a:graphicData uri="http://schemas.openxmlformats.org/drawingml/2006/chart">
          <c:chart r:id="rId9"/>
        </a:graphicData>
      </a:graphic>
    </graphicFrame>
    <clientData fLocksWithSheet="0"/>
  </oneCellAnchor>
  <oneCellAnchor>
    <from>
      <col>0</col>
      <colOff>0</colOff>
      <row>66</row>
      <rowOff>95250</rowOff>
    </from>
    <ext cx="9039225" cy="6515100"/>
    <graphicFrame>
      <nvGraphicFramePr>
        <cNvPr id="10" name="Chart 10"/>
        <cNvGraphicFramePr/>
      </nvGraphicFramePr>
      <xfrm/>
      <a:graphic>
        <a:graphicData uri="http://schemas.openxmlformats.org/drawingml/2006/chart">
          <c:chart r:id="rId10"/>
        </a:graphicData>
      </a:graphic>
    </graphicFrame>
    <clientData fLocksWithSheet="0"/>
  </oneCellAnchor>
  <oneCellAnchor>
    <from>
      <col>21</col>
      <colOff>85725</colOff>
      <row>1</row>
      <rowOff>104775</rowOff>
    </from>
    <ext cx="8477250" cy="6477000"/>
    <graphicFrame>
      <nvGraphicFramePr>
        <cNvPr id="11" name="Chart 11"/>
        <cNvGraphicFramePr/>
      </nvGraphicFramePr>
      <xfrm/>
      <a:graphic>
        <a:graphicData uri="http://schemas.openxmlformats.org/drawingml/2006/chart">
          <c:chart r:id="rId11"/>
        </a:graphicData>
      </a:graphic>
    </graphicFrame>
    <clientData fLocksWithSheet="0"/>
  </oneCellAnchor>
  <oneCellAnchor>
    <from>
      <col>21</col>
      <colOff>85725</colOff>
      <row>34</row>
      <rowOff>9525</rowOff>
    </from>
    <ext cx="8477250" cy="6477000"/>
    <graphicFrame>
      <nvGraphicFramePr>
        <cNvPr id="12" name="Chart 12"/>
        <cNvGraphicFramePr/>
      </nvGraphicFramePr>
      <xfrm/>
      <a:graphic>
        <a:graphicData uri="http://schemas.openxmlformats.org/drawingml/2006/chart">
          <c:chart r:id="rId12"/>
        </a:graphicData>
      </a:graphic>
    </graphicFrame>
    <clientData fLocksWithSheet="0"/>
  </oneCellAnchor>
  <oneCellAnchor>
    <from>
      <col>21</col>
      <colOff>85725</colOff>
      <row>66</row>
      <rowOff>114300</rowOff>
    </from>
    <ext cx="8477250" cy="6496050"/>
    <graphicFrame>
      <nvGraphicFramePr>
        <cNvPr id="13" name="Chart 13"/>
        <cNvGraphicFramePr/>
      </nvGraphicFramePr>
      <xfrm/>
      <a:graphic>
        <a:graphicData uri="http://schemas.openxmlformats.org/drawingml/2006/chart">
          <c:chart r:id="rId13"/>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485775</colOff>
      <row>65</row>
      <rowOff>200025</rowOff>
    </from>
    <ext cx="7981950" cy="420052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13</col>
      <colOff>9525</colOff>
      <row>65</row>
      <rowOff>200025</rowOff>
    </from>
    <ext cx="7981950" cy="420052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9525</colOff>
      <row>40</row>
      <rowOff>190500</rowOff>
    </from>
    <ext cx="7991475" cy="48101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21</col>
      <colOff>476250</colOff>
      <row>40</row>
      <rowOff>190500</rowOff>
    </from>
    <ext cx="7991475" cy="4810125"/>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628650</colOff>
      <row>55</row>
      <rowOff>171450</rowOff>
    </from>
    <ext cx="621030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51</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51</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685800</colOff>
      <row>51</row>
      <rowOff>190500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51</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65</row>
      <rowOff>190500</rowOff>
    </from>
    <ext cx="8724900"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65</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0</colOff>
      <row>66</row>
      <rowOff>0</rowOff>
    </from>
    <ext cx="86677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66</row>
      <rowOff>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59</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59</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723900</colOff>
      <row>60</row>
      <rowOff>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59</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7.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0" customWidth="1" style="323" min="1" max="1"/>
    <col width="40" customWidth="1" style="323" min="2" max="2"/>
    <col width="40" customWidth="1" style="323" min="3" max="3"/>
  </cols>
  <sheetData>
    <row r="1">
      <c r="A1" s="324" t="inlineStr">
        <is>
          <t>RealGold Financial Model - FULLY DYNAMIC</t>
        </is>
      </c>
    </row>
    <row r="3">
      <c r="A3" t="inlineStr">
        <is>
          <t>Version</t>
        </is>
      </c>
      <c r="B3" t="inlineStr">
        <is>
          <t>V2.3 - Fully Dynamic</t>
        </is>
      </c>
    </row>
    <row r="4">
      <c r="A4" t="inlineStr">
        <is>
          <t>Updated</t>
        </is>
      </c>
      <c r="B4" t="inlineStr">
        <is>
          <t>2025-11-26 15:13:12</t>
        </is>
      </c>
    </row>
    <row r="6">
      <c r="A6" s="325" t="inlineStr">
        <is>
          <t>KEY FEATURE: Dynamic Date Management</t>
        </is>
      </c>
    </row>
    <row r="7">
      <c r="A7" t="inlineStr">
        <is>
          <t>Instructions</t>
        </is>
      </c>
      <c r="B7" t="inlineStr">
        <is>
          <t>Change any date in 'Mine Inventory' Column B</t>
        </is>
      </c>
    </row>
    <row r="8">
      <c r="A8" t="inlineStr"/>
      <c r="B8" t="inlineStr">
        <is>
          <t>ALL data redistributes automatically across entire workbook</t>
        </is>
      </c>
    </row>
    <row r="10">
      <c r="A10" s="326" t="inlineStr">
        <is>
          <t>Corrections Applied</t>
        </is>
      </c>
    </row>
    <row r="11">
      <c r="A11" s="327" t="inlineStr">
        <is>
          <t>Item</t>
        </is>
      </c>
      <c r="B11" s="327" t="inlineStr">
        <is>
          <t>Change</t>
        </is>
      </c>
      <c r="C11" s="327" t="inlineStr">
        <is>
          <t>Status</t>
        </is>
      </c>
    </row>
    <row r="12">
      <c r="A12" t="inlineStr">
        <is>
          <t>Unitization Fee</t>
        </is>
      </c>
      <c r="B12" t="inlineStr">
        <is>
          <t>0.5% → 0.01%</t>
        </is>
      </c>
      <c r="C12" t="inlineStr">
        <is>
          <t>CRITICAL</t>
        </is>
      </c>
    </row>
    <row r="13">
      <c r="A13" t="inlineStr">
        <is>
          <t>Courbet Mine</t>
        </is>
      </c>
      <c r="B13" t="inlineStr">
        <is>
          <t>Sep '25 → Dec '25</t>
        </is>
      </c>
      <c r="C13" t="inlineStr">
        <is>
          <t>Updated</t>
        </is>
      </c>
    </row>
    <row r="14">
      <c r="A14" t="inlineStr">
        <is>
          <t>Mine 2</t>
        </is>
      </c>
      <c r="B14" t="inlineStr">
        <is>
          <t>Nov '25 → Jan '26</t>
        </is>
      </c>
      <c r="C14" t="inlineStr">
        <is>
          <t>Updated</t>
        </is>
      </c>
    </row>
    <row r="15">
      <c r="A15" t="inlineStr">
        <is>
          <t>Column AO</t>
        </is>
      </c>
      <c r="B15" t="inlineStr">
        <is>
          <t>MATCH formulas added</t>
        </is>
      </c>
      <c r="C15" t="inlineStr">
        <is>
          <t>DYNAMIC OFFSETS</t>
        </is>
      </c>
    </row>
    <row r="16">
      <c r="A16" t="inlineStr">
        <is>
          <t>Resource Supply</t>
        </is>
      </c>
      <c r="B16" t="inlineStr">
        <is>
          <t>SUMIF/COUNTIF formulas</t>
        </is>
      </c>
      <c r="C16" t="inlineStr">
        <is>
          <t>DYNAMIC DATA</t>
        </is>
      </c>
    </row>
    <row r="17">
      <c r="A17" t="inlineStr">
        <is>
          <t>All Headers</t>
        </is>
      </c>
      <c r="B17" t="inlineStr">
        <is>
          <t>XAUconfig references</t>
        </is>
      </c>
      <c r="C17" t="inlineStr">
        <is>
          <t>Dynamic timeline</t>
        </is>
      </c>
    </row>
    <row r="20">
      <c r="A20" s="326" t="inlineStr">
        <is>
          <t>Live Validation</t>
        </is>
      </c>
    </row>
    <row r="21">
      <c r="A21" t="inlineStr">
        <is>
          <t>Unitization Fee</t>
        </is>
      </c>
      <c r="B21">
        <f>IF(Inputs!B26=0.0001,"✓ PASS","✗ FAIL")</f>
        <v/>
      </c>
    </row>
    <row r="22">
      <c r="A22" t="inlineStr">
        <is>
          <t>Timeline Start</t>
        </is>
      </c>
      <c r="B22">
        <f>XAUconfig!B4</f>
        <v/>
      </c>
      <c r="C22" t="inlineStr">
        <is>
          <t>Should be: Dec '25</t>
        </is>
      </c>
    </row>
    <row r="23">
      <c r="A23" t="inlineStr">
        <is>
          <t>Courbet Date</t>
        </is>
      </c>
      <c r="B23">
        <f>"Mine Inventory"!B2</f>
        <v/>
      </c>
      <c r="C23" t="inlineStr">
        <is>
          <t>Should be: Dec '25</t>
        </is>
      </c>
    </row>
    <row r="24">
      <c r="A24" t="inlineStr">
        <is>
          <t>Courbet Offset (Dynamic)</t>
        </is>
      </c>
      <c r="B24">
        <f>"Mine Inventory"!AO2</f>
        <v/>
      </c>
      <c r="C24" t="inlineStr">
        <is>
          <t>Should be: 0 (if Courbet is Dec '25)</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32"/>
  <sheetViews>
    <sheetView workbookViewId="0">
      <selection activeCell="A1" sqref="A1"/>
    </sheetView>
  </sheetViews>
  <sheetFormatPr baseColWidth="8" defaultColWidth="12.63" defaultRowHeight="15.75" customHeight="1"/>
  <cols>
    <col width="17.38" customWidth="1" style="323" min="1" max="1"/>
    <col width="108" customWidth="1" style="323" min="2" max="2"/>
    <col width="13.5" customWidth="1" style="323" min="11" max="11"/>
    <col width="12.25" customWidth="1" style="323" min="12" max="12"/>
    <col width="16.75" customWidth="1" style="323" min="30" max="30"/>
  </cols>
  <sheetData>
    <row r="1">
      <c r="A1" s="1" t="inlineStr">
        <is>
          <t>RealGold Financial Model Workbook</t>
        </is>
      </c>
    </row>
    <row r="2">
      <c r="A2" s="117" t="inlineStr">
        <is>
          <t>Welcome to the Financial Model Workbook for RealGold. This model is designed to provide a transparent, dynamic, and scenario-driven view of our economic design.</t>
        </is>
      </c>
    </row>
    <row r="3">
      <c r="A3" s="117" t="inlineStr">
        <is>
          <t>It outlines the key assumptions, inputs, mechanisms, and projected outcomes that support the viability, sustainability, and scalability of RealGold.</t>
        </is>
      </c>
    </row>
    <row r="4">
      <c r="A4" s="117" t="inlineStr">
        <is>
          <t>The model is modular and interactive — feel free to explore each section to understand how various parameters shape the financial architecture.</t>
        </is>
      </c>
    </row>
    <row r="6">
      <c r="A6" s="3" t="inlineStr">
        <is>
          <t>Sheets</t>
        </is>
      </c>
      <c r="B6" s="4" t="n"/>
    </row>
    <row r="7">
      <c r="A7" s="5" t="inlineStr">
        <is>
          <t>Summaries</t>
        </is>
      </c>
      <c r="B7" s="6" t="inlineStr">
        <is>
          <t>Charts representing top level summaries including Resources under Management, Cash Position, Cashflows, Revenue, and Token Supply/Demand.</t>
        </is>
      </c>
    </row>
    <row r="8">
      <c r="A8" s="5" t="inlineStr">
        <is>
          <t>Inputs</t>
        </is>
      </c>
      <c r="B8" s="6" t="inlineStr">
        <is>
          <t>Primary assumptions live here. This includes gold spot price, collateralization ratios, unlock schedules, fee percentages, and other model-wide variables. This sheet powers dynamic calculations across the workbook.</t>
        </is>
      </c>
    </row>
    <row r="9">
      <c r="A9" s="5" t="inlineStr">
        <is>
          <t>Mine Inventory</t>
        </is>
      </c>
      <c r="B9" s="6" t="inlineStr">
        <is>
          <t>Holds our working list of registered mines (currently dummy data for testing). Each mine’s resource classification (Measured, Indicated, Inferred), Tripartite committment, and unlock rates are here.</t>
        </is>
      </c>
    </row>
    <row r="10">
      <c r="A10" s="5" t="inlineStr">
        <is>
          <t>Resource Supply (5yr)</t>
        </is>
      </c>
      <c r="B10" s="6" t="inlineStr">
        <is>
          <t>Calculates the yearly market availability of RealGold units based on the Mine Inventory and Trust commitments. This is where unitizable resources become released to market over a 20–40 year time horizon.</t>
        </is>
      </c>
    </row>
    <row r="11">
      <c r="A11" s="5" t="inlineStr">
        <is>
          <t>Token Supply (5yr)</t>
        </is>
      </c>
      <c r="B11" s="6" t="inlineStr">
        <is>
          <t>Projects the circulating and total RealGold token counts over five years, incorporating unlock schedules and treasury allocations to forecast market‑cap and liquidity trajectories.</t>
        </is>
      </c>
    </row>
    <row r="12">
      <c r="A12" s="5" t="inlineStr">
        <is>
          <t>Token Demand (5yr)</t>
        </is>
      </c>
      <c r="B12" s="6" t="inlineStr">
        <is>
          <t>Models how RealGold units trade once released to the market. Includes transfer volume assumptions and projected on-chain activity, which feed into token economics and fee revenue projections.</t>
        </is>
      </c>
    </row>
    <row r="13">
      <c r="A13" s="5" t="inlineStr">
        <is>
          <t>Cashflow (RA LLC)</t>
        </is>
      </c>
      <c r="B13" s="6" t="inlineStr">
        <is>
          <t>A traditional cash flow statement for the Regenerative Assets LLC, tracking income, expenditures, and net position over time.</t>
        </is>
      </c>
    </row>
    <row r="14">
      <c r="A14" s="5" t="inlineStr">
        <is>
          <t>Cashflow (RAF) (5yr)</t>
        </is>
      </c>
      <c r="B14" s="6" t="inlineStr">
        <is>
          <t>A traditional cash flow statement for the Real Assets Foundation, tracking income, expenditures, and net position over time.</t>
        </is>
      </c>
    </row>
    <row r="15">
      <c r="A15" s="5" t="inlineStr">
        <is>
          <t>Cashflow (RGT)</t>
        </is>
      </c>
      <c r="B15" s="6" t="inlineStr">
        <is>
          <t>A traditional cash flow statement for the Real Gold Treasury, tracking income, expenditures, and net position over time.</t>
        </is>
      </c>
    </row>
    <row r="16" ht="26.25" customHeight="1" s="323">
      <c r="A16" s="5" t="inlineStr">
        <is>
          <t>Personnel</t>
        </is>
      </c>
      <c r="B16" s="6" t="inlineStr">
        <is>
          <t>Outlines all team roles, titles, stipends, and salaries. Used to forecast payroll and model team growth over time.</t>
        </is>
      </c>
    </row>
    <row r="17">
      <c r="A17" s="5" t="inlineStr">
        <is>
          <t>Deferred Comp</t>
        </is>
      </c>
      <c r="B17" s="6" t="inlineStr">
        <is>
          <t>Tracks the team deferred compensation issuances, redemptions, and remaining balances, linking operational spending and capital raises to outstanding Keepon obligations for accurate liability accounting.</t>
        </is>
      </c>
    </row>
    <row r="18">
      <c r="A18" s="5" t="inlineStr">
        <is>
          <t>Capital</t>
        </is>
      </c>
      <c r="B18" s="6" t="inlineStr">
        <is>
          <t>Defines the capital strategy. Models tranches of funding, investor return mechanics (e.g., “keepons”), and capital return timing.</t>
        </is>
      </c>
    </row>
    <row r="19">
      <c r="A19" s="5" t="inlineStr">
        <is>
          <t>Revenue Sharing</t>
        </is>
      </c>
      <c r="B19" s="6" t="inlineStr">
        <is>
          <t>Breaks down how token transfer fees are distributed across different stakeholders. Includes revshare percentages for founders, ecosystem participants, and regenerative partners.</t>
        </is>
      </c>
    </row>
    <row r="20">
      <c r="A20" s="5" t="inlineStr">
        <is>
          <t>Deal Calc</t>
        </is>
      </c>
      <c r="B20" s="6" t="inlineStr">
        <is>
          <t>A simple input-output calculator: plug in a mine’s resource profile and Tripartite Trust commitment level to estimate how much RealGold becomes unlockable and releasable over time.</t>
        </is>
      </c>
    </row>
    <row r="21">
      <c r="A21" s="7" t="inlineStr">
        <is>
          <t>Expenditures</t>
        </is>
      </c>
      <c r="B21" s="8" t="inlineStr">
        <is>
          <t>Captures actual costs to date, including operations, legal, tech development, and compliance. Informs Keepon accumulation for project expenses to date.</t>
        </is>
      </c>
    </row>
    <row r="24" ht="24" customHeight="1" s="323">
      <c r="A24" s="9" t="n"/>
    </row>
    <row r="27">
      <c r="A27" s="10" t="inlineStr">
        <is>
          <t>Assumptions</t>
        </is>
      </c>
    </row>
    <row r="28">
      <c r="B28" s="10" t="inlineStr">
        <is>
          <t>Gold price of $2707 as of December 31st, 2024 with a CAGR of 7.8%</t>
        </is>
      </c>
    </row>
    <row r="29">
      <c r="B29" s="10" t="inlineStr">
        <is>
          <t>Paying back our capital raised within 4 years</t>
        </is>
      </c>
    </row>
    <row r="30">
      <c r="B30" s="10" t="inlineStr">
        <is>
          <t>~8 million assayed ounces of gold-in-ground registered over 4 years from 12 mines</t>
        </is>
      </c>
    </row>
    <row r="31">
      <c r="B31" s="10" t="inlineStr">
        <is>
          <t>No new inventory after 4 years in order to gauge annual recurring revenue</t>
        </is>
      </c>
    </row>
    <row r="32">
      <c r="B32" s="117" t="inlineStr">
        <is>
          <t>Sensitivity analysis uses gold price of of 12/31/2024 + CAGR and assumes consistent 15% underperformance.</t>
        </is>
      </c>
    </row>
    <row r="86" ht="29.25" customHeight="1" s="323"/>
  </sheetData>
  <hyperlinks>
    <hyperlink ref="A7" location="Summaries!A1" display="Summaries"/>
    <hyperlink ref="A8" location="Inputs!A1" display="Inputs"/>
    <hyperlink ref="A9" location="'Mine Inventory'!A1" display="Mine Inventory"/>
    <hyperlink ref="A10" location="'Resource Supply (5yr)'!A1" display="Resource Supply (5yr)"/>
    <hyperlink ref="A11" location="'Token Supply (5yr)'!A1" display="Token Supply (5yr)"/>
    <hyperlink ref="A12" location="'Token Demand (5yr)'!A1" display="Token Demand (5yr)"/>
    <hyperlink ref="A13" location="'RA LLC Cashflow'!A1" display="Cashflow (RA LLC)"/>
    <hyperlink ref="A14" location="'RAF Cashflow (5yr)'!A1" display="Cashflow (RAF) (5yr)"/>
    <hyperlink ref="A15" location="'RGT Cashflow (5yr)'!A1" display="Cashflow (RGT)"/>
    <hyperlink ref="A16" location="Personnel!A1" display="Personnel"/>
    <hyperlink ref="A17" location="'Deferred Comp'!A1" display="Deferred Comp"/>
    <hyperlink ref="A18" location="Capital!A1" display="Capital"/>
    <hyperlink ref="A19" location="RevShare!A1" display="Revenue Sharing"/>
    <hyperlink ref="A20" location="'Deal Calc'!A1" display="Deal Calc"/>
    <hyperlink ref="A21" location="Expenditures!A1" display="Expenditures"/>
  </hyperlinks>
  <printOptions horizontalCentered="1" verticalCentered="1"/>
  <pageMargins left="0.7" right="0.7" top="0.75" bottom="0.75" header="0" footer="0"/>
  <pageSetup orientation="landscape" pageOrder="overThenDown" cellComments="atEnd"/>
  <headerFooter>
    <oddHeader>&amp;LRealGold Financial Model&amp;RSummaries</oddHeader>
    <oddFooter>&amp;L&amp;D&amp;R</oddFooter>
    <evenHeader/>
    <evenFooter/>
    <firstHeader/>
    <firstFooter/>
  </headerFooter>
  <rowBreaks count="2" manualBreakCount="2">
    <brk id="86" min="0" max="16383" man="1"/>
    <brk id="24" min="0" max="16383" man="1"/>
  </rowBreaks>
  <colBreaks count="4" manualBreakCount="4">
    <brk id="0" min="0" max="16383" man="1"/>
    <brk id="11" min="0" max="16383" man="1"/>
    <brk id="12" min="0" max="16383" man="1"/>
    <brk id="30" min="0" max="16383" man="1"/>
  </colBreaks>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2.63" defaultRowHeight="15.75" customHeight="1"/>
  <cols>
    <col width="17.38" customWidth="1" style="323" min="1" max="1"/>
    <col width="103.63" customWidth="1" style="323" min="2" max="2"/>
    <col width="2.63" customWidth="1" style="323" min="3" max="3"/>
    <col width="19.38" customWidth="1" style="323" min="11" max="11"/>
    <col width="12.88" customWidth="1" style="323" min="12" max="12"/>
    <col width="19.63" customWidth="1" style="323" min="21" max="21"/>
    <col width="8.880000000000001" customWidth="1" style="323" min="24" max="24"/>
    <col width="16.75" customWidth="1" style="323" min="30" max="30"/>
  </cols>
  <sheetData>
    <row r="1" ht="19.5" customHeight="1" s="323">
      <c r="A1" s="11" t="inlineStr">
        <is>
          <t>Summaries</t>
        </is>
      </c>
      <c r="J1" s="10" t="inlineStr">
        <is>
          <t>e</t>
        </is>
      </c>
    </row>
    <row r="33" ht="25.5" customHeight="1" s="323"/>
    <row r="44" ht="18.75" customHeight="1" s="323"/>
    <row r="63" ht="29.25" customHeight="1" s="323"/>
    <row r="98" ht="24" customHeight="1" s="323"/>
  </sheetData>
  <printOptions horizontalCentered="1" verticalCentered="1"/>
  <pageMargins left="0.7" right="0.7" top="0.75" bottom="0.75" header="0" footer="0"/>
  <pageSetup orientation="landscape" pageOrder="overThenDown"/>
  <headerFooter>
    <oddHeader>&amp;LRealGold Financial Model&amp;RSummaries</oddHeader>
    <oddFooter>&amp;L&amp;C&amp;R</oddFooter>
    <evenHeader/>
    <evenFooter/>
    <firstHeader/>
    <firstFooter/>
  </headerFooter>
  <rowBreaks count="4" manualBreakCount="4">
    <brk id="1" min="0" max="16383" man="1"/>
    <brk id="34" min="0" max="16383" man="1"/>
    <brk id="66" min="0" max="16383" man="1"/>
    <brk id="100" min="0" max="16383" man="1"/>
  </rowBreaks>
  <colBreaks count="5" manualBreakCount="5">
    <brk id="0" min="0" max="16383" man="1"/>
    <brk id="2" min="0" max="16383" man="1"/>
    <brk id="3" min="0" max="16383" man="1"/>
    <brk id="12" min="0" max="16383" man="1"/>
    <brk id="30" min="0" max="16383" man="1"/>
  </colBreaks>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Z56"/>
  <sheetViews>
    <sheetView workbookViewId="0">
      <selection activeCell="A1" sqref="A1"/>
    </sheetView>
  </sheetViews>
  <sheetFormatPr baseColWidth="8" defaultColWidth="12.63" defaultRowHeight="15.75" customHeight="1"/>
  <cols>
    <col width="40" customWidth="1" style="323" min="1" max="1"/>
    <col width="17.63" customWidth="1" style="323" min="2" max="2"/>
    <col width="18.88" customWidth="1" style="323" min="3" max="3"/>
    <col width="17.38" customWidth="1" style="323" min="4" max="4"/>
    <col width="13.5" customWidth="1" style="323" min="5" max="5"/>
    <col width="60.38" customWidth="1" style="323" min="7" max="7"/>
    <col width="14.88" customWidth="1" style="323" min="8" max="8"/>
  </cols>
  <sheetData>
    <row r="1">
      <c r="A1" s="12" t="inlineStr">
        <is>
          <t>Realgold Financial Model Inputs</t>
        </is>
      </c>
    </row>
    <row r="2">
      <c r="A2" s="13" t="n"/>
      <c r="B2" s="14" t="n"/>
      <c r="C2" s="14" t="n"/>
      <c r="D2" s="14" t="n"/>
      <c r="E2" s="14" t="n"/>
      <c r="F2" s="14" t="n"/>
      <c r="G2" s="15" t="n"/>
      <c r="H2" s="190" t="n"/>
      <c r="I2" s="190" t="n"/>
      <c r="J2" s="190" t="n"/>
      <c r="K2" s="190" t="n"/>
      <c r="L2" s="190" t="n"/>
      <c r="M2" s="190" t="n"/>
      <c r="N2" s="190" t="n"/>
      <c r="O2" s="190" t="n"/>
      <c r="P2" s="190" t="n"/>
      <c r="Q2" s="190" t="n"/>
      <c r="R2" s="190" t="n"/>
      <c r="S2" s="190" t="n"/>
      <c r="T2" s="190" t="n"/>
      <c r="U2" s="190" t="n"/>
      <c r="V2" s="190" t="n"/>
      <c r="W2" s="190" t="n"/>
      <c r="X2" s="190" t="n"/>
      <c r="Y2" s="190" t="n"/>
      <c r="Z2" s="190" t="n"/>
    </row>
    <row r="3">
      <c r="A3" s="17" t="inlineStr">
        <is>
          <t>Project Qualification Level</t>
        </is>
      </c>
      <c r="B3" s="18" t="inlineStr">
        <is>
          <t>Resource Unlock %</t>
        </is>
      </c>
      <c r="C3" s="18" t="inlineStr">
        <is>
          <t>Resource Holdback %</t>
        </is>
      </c>
      <c r="D3" s="18" t="inlineStr">
        <is>
          <t>Max Initial Release</t>
        </is>
      </c>
      <c r="E3" s="18" t="inlineStr">
        <is>
          <t>Release Years</t>
        </is>
      </c>
      <c r="F3" s="18" t="inlineStr">
        <is>
          <t>Review Cycle</t>
        </is>
      </c>
      <c r="G3" s="19" t="inlineStr">
        <is>
          <t>Qualifications under review for ongoing time-released funds</t>
        </is>
      </c>
    </row>
    <row r="4">
      <c r="A4" s="20" t="inlineStr">
        <is>
          <t>Mineral Estate Trust</t>
        </is>
      </c>
      <c r="B4" s="21">
        <f>1-C4</f>
        <v/>
      </c>
      <c r="C4" s="22" t="n">
        <v>0.8</v>
      </c>
      <c r="D4" s="23" t="n">
        <v>0.2</v>
      </c>
      <c r="E4" s="24" t="n">
        <v>40</v>
      </c>
      <c r="F4" s="25" t="inlineStr">
        <is>
          <t>5 years</t>
        </is>
      </c>
      <c r="G4" s="26" t="inlineStr">
        <is>
          <t>Gold is protected. No active mining. Enviornmental remediation plan being fulfilled. Remediation metrics met (80%+)</t>
        </is>
      </c>
    </row>
    <row r="5">
      <c r="A5" s="20" t="inlineStr">
        <is>
          <t>Mineral + Bio Estate Trusts</t>
        </is>
      </c>
      <c r="B5" s="21">
        <f>1-C5</f>
        <v/>
      </c>
      <c r="C5" s="22" t="n">
        <v>0.65</v>
      </c>
      <c r="D5" s="23" t="n">
        <v>0.2</v>
      </c>
      <c r="E5" s="24" t="n">
        <v>30</v>
      </c>
      <c r="F5" s="25" t="inlineStr">
        <is>
          <t>5 years</t>
        </is>
      </c>
      <c r="G5" s="26" t="inlineStr">
        <is>
          <t>Regen land management plan being fulfilled. Targets met (80%+) (+mining reqs)</t>
        </is>
      </c>
    </row>
    <row r="6">
      <c r="A6" s="27" t="inlineStr">
        <is>
          <t>Mineral + Bio + Social Estate Trusts</t>
        </is>
      </c>
      <c r="B6" s="28">
        <f>1-C6</f>
        <v/>
      </c>
      <c r="C6" s="29" t="n">
        <v>0.5</v>
      </c>
      <c r="D6" s="30" t="n">
        <v>0.2</v>
      </c>
      <c r="E6" s="31" t="n">
        <v>20</v>
      </c>
      <c r="F6" s="32" t="inlineStr">
        <is>
          <t>3 years</t>
        </is>
      </c>
      <c r="G6" s="33" t="inlineStr">
        <is>
          <t>All three trusts operational with their regen plans being fulfilled.</t>
        </is>
      </c>
    </row>
    <row r="7">
      <c r="A7" s="34" t="n"/>
      <c r="B7" s="34" t="n"/>
      <c r="C7" s="34" t="n"/>
      <c r="D7" s="34" t="n"/>
      <c r="E7" s="34" t="n"/>
      <c r="F7" s="34" t="n"/>
      <c r="G7" s="34" t="n"/>
      <c r="H7" s="34" t="n"/>
      <c r="I7" s="128" t="n"/>
      <c r="J7" s="128" t="n"/>
      <c r="K7" s="128" t="n"/>
      <c r="L7" s="128" t="n"/>
      <c r="M7" s="128" t="n"/>
      <c r="N7" s="128" t="n"/>
      <c r="O7" s="128" t="n"/>
      <c r="P7" s="128" t="n"/>
      <c r="Q7" s="128" t="n"/>
      <c r="R7" s="128" t="n"/>
      <c r="S7" s="128" t="n"/>
      <c r="T7" s="128" t="n"/>
      <c r="U7" s="128" t="n"/>
      <c r="V7" s="128" t="n"/>
      <c r="W7" s="128" t="n"/>
      <c r="X7" s="128" t="n"/>
      <c r="Y7" s="128" t="n"/>
      <c r="Z7" s="128" t="n"/>
    </row>
    <row r="8">
      <c r="A8" s="36" t="inlineStr">
        <is>
          <t>Mineral Prices &amp; Units</t>
        </is>
      </c>
      <c r="B8" s="37" t="n"/>
    </row>
    <row r="9">
      <c r="A9" s="38" t="inlineStr">
        <is>
          <t>Price of Gold (oz) (as of Dec. 31, 2024)</t>
        </is>
      </c>
      <c r="B9" s="39" t="n">
        <v>2711.6</v>
      </c>
    </row>
    <row r="10">
      <c r="A10" s="38" t="inlineStr">
        <is>
          <t>Gold Spot Price (as of Aug. 9, 2025)</t>
        </is>
      </c>
      <c r="B10" s="44" t="n">
        <v>3779</v>
      </c>
    </row>
    <row r="11">
      <c r="A11" s="38" t="inlineStr">
        <is>
          <t>Silver Spot Price</t>
        </is>
      </c>
      <c r="B11" s="44" t="n">
        <v>38.16</v>
      </c>
    </row>
    <row r="12">
      <c r="A12" s="38" t="inlineStr">
        <is>
          <t>Silver/Gold Ratio</t>
        </is>
      </c>
      <c r="B12" s="41">
        <f>B10/B11</f>
        <v/>
      </c>
    </row>
    <row r="13">
      <c r="A13" s="38" t="inlineStr">
        <is>
          <t>Silver/Gold Conversion Ratio</t>
        </is>
      </c>
      <c r="B13" s="42" t="n">
        <v>120</v>
      </c>
    </row>
    <row r="14">
      <c r="A14" s="38" t="inlineStr">
        <is>
          <t>Gold CAGR (historical over 25 yrs)</t>
        </is>
      </c>
      <c r="B14" s="43" t="n">
        <v>0.078</v>
      </c>
    </row>
    <row r="15">
      <c r="A15" s="38" t="inlineStr">
        <is>
          <t>AISC (NatGold Index)</t>
        </is>
      </c>
      <c r="B15" s="44" t="n">
        <v>1481.32</v>
      </c>
    </row>
    <row r="16">
      <c r="A16" s="38" t="inlineStr">
        <is>
          <t>Intrinsic Value (price of gold - AISC)</t>
        </is>
      </c>
      <c r="B16" s="39">
        <f>B10-B15</f>
        <v/>
      </c>
    </row>
    <row r="17">
      <c r="A17" s="45" t="inlineStr">
        <is>
          <t>Intrinsic Value (%)</t>
        </is>
      </c>
      <c r="B17" s="46">
        <f>B16/B9</f>
        <v/>
      </c>
    </row>
    <row r="18">
      <c r="A18" s="128" t="n"/>
      <c r="B18" s="128" t="n"/>
    </row>
    <row r="19">
      <c r="A19" s="36" t="inlineStr">
        <is>
          <t>Valuation of Types of Mineral Resources</t>
        </is>
      </c>
      <c r="B19" s="4" t="n"/>
    </row>
    <row r="20">
      <c r="A20" s="38" t="inlineStr">
        <is>
          <t>Measured</t>
        </is>
      </c>
      <c r="B20" s="47" t="n">
        <v>1</v>
      </c>
    </row>
    <row r="21">
      <c r="A21" s="38" t="inlineStr">
        <is>
          <t>Indicated</t>
        </is>
      </c>
      <c r="B21" s="47" t="n">
        <v>0.75</v>
      </c>
    </row>
    <row r="22">
      <c r="A22" s="45" t="inlineStr">
        <is>
          <t>Inferred</t>
        </is>
      </c>
      <c r="B22" s="48" t="n">
        <v>0.5</v>
      </c>
    </row>
    <row r="23">
      <c r="A23" s="49" t="n"/>
      <c r="B23" s="50" t="n"/>
      <c r="C23" s="128" t="n"/>
      <c r="D23" s="128" t="n"/>
      <c r="E23" s="128" t="n"/>
      <c r="F23" s="128" t="n"/>
      <c r="G23" s="128" t="n"/>
      <c r="H23" s="128" t="n"/>
      <c r="I23" s="128" t="n"/>
      <c r="J23" s="128" t="n"/>
      <c r="K23" s="128" t="n"/>
      <c r="L23" s="128" t="n"/>
      <c r="M23" s="128" t="n"/>
      <c r="N23" s="128" t="n"/>
      <c r="O23" s="128" t="n"/>
      <c r="P23" s="128" t="n"/>
      <c r="Q23" s="128" t="n"/>
      <c r="R23" s="128" t="n"/>
      <c r="S23" s="128" t="n"/>
      <c r="T23" s="128" t="n"/>
      <c r="U23" s="128" t="n"/>
      <c r="V23" s="128" t="n"/>
      <c r="W23" s="128" t="n"/>
      <c r="X23" s="128" t="n"/>
      <c r="Y23" s="128" t="n"/>
      <c r="Z23" s="128" t="n"/>
    </row>
    <row r="24">
      <c r="A24" s="51" t="inlineStr">
        <is>
          <t>RealGold Fee Structure</t>
        </is>
      </c>
      <c r="B24" s="52" t="n"/>
    </row>
    <row r="25">
      <c r="A25" s="53" t="inlineStr">
        <is>
          <t>Yearly Admin Fee (on authorized assets)</t>
        </is>
      </c>
      <c r="B25" s="54" t="n">
        <v>0.0001</v>
      </c>
    </row>
    <row r="26">
      <c r="A26" s="38" t="inlineStr">
        <is>
          <t>Unitization Fee (linked to unlocks)</t>
        </is>
      </c>
      <c r="B26" s="43" t="n">
        <v>0.0001</v>
      </c>
    </row>
    <row r="27">
      <c r="A27" s="38" t="inlineStr">
        <is>
          <t>Liquidity Reserve Fee</t>
        </is>
      </c>
      <c r="B27" s="47" t="n">
        <v>0.01</v>
      </c>
    </row>
    <row r="28">
      <c r="A28" s="38" t="inlineStr">
        <is>
          <t>RealGold Token Minting Fee</t>
        </is>
      </c>
      <c r="B28" s="43" t="n">
        <v>0.005</v>
      </c>
    </row>
    <row r="29">
      <c r="A29" s="45" t="inlineStr">
        <is>
          <t>RealGold Token Transfer Tax</t>
        </is>
      </c>
      <c r="B29" s="55" t="n">
        <v>0.003</v>
      </c>
    </row>
    <row r="30">
      <c r="A30" s="128" t="n"/>
      <c r="B30" s="128" t="n"/>
      <c r="C30" s="128" t="n"/>
      <c r="D30" s="128" t="n"/>
      <c r="E30" s="128" t="n"/>
      <c r="F30" s="128" t="n"/>
      <c r="G30" s="128" t="n"/>
      <c r="H30" s="128" t="n"/>
      <c r="I30" s="128" t="n"/>
      <c r="J30" s="128" t="n"/>
      <c r="K30" s="128" t="n"/>
      <c r="L30" s="128" t="n"/>
      <c r="M30" s="128" t="n"/>
      <c r="N30" s="128" t="n"/>
      <c r="O30" s="128" t="n"/>
      <c r="P30" s="128" t="n"/>
      <c r="Q30" s="128" t="n"/>
      <c r="R30" s="128" t="n"/>
      <c r="S30" s="128" t="n"/>
      <c r="T30" s="128" t="n"/>
      <c r="U30" s="128" t="n"/>
      <c r="V30" s="128" t="n"/>
      <c r="W30" s="128" t="n"/>
      <c r="X30" s="128" t="n"/>
      <c r="Y30" s="128" t="n"/>
      <c r="Z30" s="128" t="n"/>
    </row>
    <row r="31">
      <c r="A31" s="36" t="inlineStr">
        <is>
          <t>Token Supply Scenarios (Sale of RG by Trusts)</t>
        </is>
      </c>
      <c r="B31" s="4" t="n"/>
    </row>
    <row r="32">
      <c r="A32" s="38" t="inlineStr">
        <is>
          <t>Conservative sales</t>
        </is>
      </c>
      <c r="B32" s="47" t="n">
        <v>0.25</v>
      </c>
    </row>
    <row r="33">
      <c r="A33" s="38" t="inlineStr">
        <is>
          <t>Moderate sales</t>
        </is>
      </c>
      <c r="B33" s="47" t="n">
        <v>0.5</v>
      </c>
    </row>
    <row r="34">
      <c r="A34" s="45" t="inlineStr">
        <is>
          <t>Aggressive sales</t>
        </is>
      </c>
      <c r="B34" s="48" t="n">
        <v>1</v>
      </c>
    </row>
    <row r="35">
      <c r="A35" s="12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row>
    <row r="36">
      <c r="A36" s="56" t="inlineStr">
        <is>
          <t>Liquidity Variables</t>
        </is>
      </c>
      <c r="B36" s="57" t="n"/>
      <c r="F36" s="256" t="n"/>
      <c r="G36" s="256" t="n"/>
      <c r="H36" s="256" t="n"/>
      <c r="I36" s="256" t="n"/>
    </row>
    <row r="37">
      <c r="A37" s="59" t="inlineStr">
        <is>
          <t>Impermanent Loss (average)</t>
        </is>
      </c>
      <c r="B37" s="60" t="n">
        <v>0.01</v>
      </c>
      <c r="F37" s="61" t="n"/>
      <c r="G37" s="256" t="n"/>
      <c r="H37" s="256" t="n"/>
      <c r="I37" s="256" t="n"/>
    </row>
    <row r="38">
      <c r="A38" s="62" t="inlineStr">
        <is>
          <t>DEX Swap Fees</t>
        </is>
      </c>
      <c r="B38" s="63" t="n">
        <v>0.003</v>
      </c>
      <c r="F38" s="64" t="n"/>
      <c r="G38" s="256" t="n"/>
      <c r="H38" s="65" t="n"/>
      <c r="I38" s="66" t="n"/>
    </row>
    <row r="39">
      <c r="A39" s="128" t="n"/>
      <c r="B39" s="128" t="n"/>
      <c r="F39" s="67" t="n"/>
      <c r="G39" s="256" t="n"/>
      <c r="H39" s="65" t="n"/>
      <c r="I39" s="66" t="n"/>
    </row>
    <row r="40">
      <c r="A40" s="56" t="inlineStr">
        <is>
          <t>Market-Making Variables</t>
        </is>
      </c>
      <c r="B40" s="57" t="n"/>
      <c r="F40" s="256" t="n"/>
      <c r="G40" s="256" t="n"/>
      <c r="H40" s="256" t="n"/>
      <c r="I40" s="65" t="n"/>
      <c r="J40" s="66" t="n"/>
    </row>
    <row r="41">
      <c r="A41" s="59" t="inlineStr">
        <is>
          <t>Buy Price</t>
        </is>
      </c>
      <c r="B41" s="68" t="n">
        <v>0.99</v>
      </c>
      <c r="F41" s="256" t="n"/>
      <c r="G41" s="256" t="n"/>
      <c r="H41" s="256" t="n"/>
      <c r="I41" s="65" t="n"/>
      <c r="J41" s="66" t="n"/>
    </row>
    <row r="42">
      <c r="A42" s="59" t="inlineStr">
        <is>
          <t>Sell Price</t>
        </is>
      </c>
      <c r="B42" s="68" t="n">
        <v>1.02</v>
      </c>
    </row>
    <row r="43">
      <c r="A43" s="59" t="inlineStr">
        <is>
          <t>Spread per oz (minus transfer &amp; swap fees)</t>
        </is>
      </c>
      <c r="B43" s="69">
        <f>1+(1*Inputs!B42)-(1*Inputs!B41)-(1*Inputs!B29)-(1*Inputs!B38)</f>
        <v/>
      </c>
    </row>
    <row r="44">
      <c r="A44" s="62" t="inlineStr">
        <is>
          <t>Volatility</t>
        </is>
      </c>
      <c r="B44" s="70" t="n"/>
    </row>
    <row r="46">
      <c r="A46" s="36" t="inlineStr">
        <is>
          <t>Compensation Multipliers</t>
        </is>
      </c>
      <c r="B46" s="4" t="n"/>
    </row>
    <row r="47">
      <c r="A47" s="38" t="inlineStr">
        <is>
          <t>Target 1</t>
        </is>
      </c>
      <c r="B47" s="42" t="n">
        <v>1.5</v>
      </c>
    </row>
    <row r="48">
      <c r="A48" s="45" t="inlineStr">
        <is>
          <t>Target 2</t>
        </is>
      </c>
      <c r="B48" s="71" t="n">
        <v>2</v>
      </c>
    </row>
    <row r="50">
      <c r="A50" s="36" t="inlineStr">
        <is>
          <t>Sensitivity Analysis</t>
        </is>
      </c>
      <c r="B50" s="4" t="n"/>
    </row>
    <row r="51">
      <c r="A51" s="38" t="inlineStr">
        <is>
          <t>Below XAU Spot</t>
        </is>
      </c>
      <c r="B51" s="47" t="n">
        <v>0.85</v>
      </c>
    </row>
    <row r="52">
      <c r="A52" s="45" t="inlineStr">
        <is>
          <t>Above XAU Spot</t>
        </is>
      </c>
      <c r="B52" s="48" t="n">
        <v>1.15</v>
      </c>
    </row>
    <row r="54">
      <c r="A54" s="36" t="inlineStr">
        <is>
          <t>Redemption Variables</t>
        </is>
      </c>
      <c r="B54" s="4" t="n"/>
    </row>
    <row r="55">
      <c r="A55" s="38" t="inlineStr">
        <is>
          <t>Cap on Redemption (% of Unlocked Token Supply)</t>
        </is>
      </c>
      <c r="B55" s="47" t="n">
        <v>0.02</v>
      </c>
    </row>
    <row r="56">
      <c r="A56" s="45" t="inlineStr">
        <is>
          <t>Redemption Premium</t>
        </is>
      </c>
      <c r="B56" s="7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O3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5.88" customWidth="1" style="323" min="1" max="1"/>
    <col width="10.25" customWidth="1" style="323" min="2" max="2"/>
    <col width="11.25" customWidth="1" style="323" min="3" max="3"/>
    <col width="10.63" customWidth="1" style="323" min="4" max="4"/>
    <col width="10.88" customWidth="1" style="323" min="5" max="5"/>
    <col width="15.75" customWidth="1" style="323" min="6" max="6"/>
    <col width="11.13" customWidth="1" style="323" min="7" max="8"/>
    <col width="10.63" customWidth="1" style="323" min="9" max="9"/>
    <col width="14.38" customWidth="1" style="323" min="10" max="10"/>
    <col width="11.5" customWidth="1" style="323" min="11" max="11"/>
    <col width="17.88" customWidth="1" style="323" min="12" max="12"/>
    <col width="12.63" customWidth="1" style="323" min="13" max="13"/>
    <col width="25" customWidth="1" style="323" min="14" max="14"/>
    <col width="15.88" customWidth="1" style="323" min="15" max="15"/>
    <col width="18.63" customWidth="1" style="323" min="16" max="16"/>
    <col width="16" customWidth="1" style="323" min="17" max="17"/>
    <col width="19.75" customWidth="1" style="323" min="18" max="18"/>
    <col width="22.13" customWidth="1" style="323" min="19" max="19"/>
    <col width="18.88" customWidth="1" style="323" min="20" max="20"/>
    <col width="17.75" customWidth="1" style="323" min="21" max="21"/>
    <col width="22.13" customWidth="1" style="323" min="22" max="22"/>
    <col width="16.5" customWidth="1" style="323" min="23" max="23"/>
    <col width="15.88" customWidth="1" style="323" min="24" max="24"/>
    <col width="17.38" customWidth="1" style="323" min="25" max="26"/>
    <col width="15.25" customWidth="1" style="323" min="27" max="27"/>
    <col width="18" customWidth="1" style="323" min="28" max="28"/>
    <col width="17.5" customWidth="1" style="323" min="29" max="29"/>
    <col width="15.88" customWidth="1" style="323" min="30" max="30"/>
    <col width="14.13" customWidth="1" style="323" min="31" max="31"/>
    <col width="14.75" customWidth="1" style="323" min="32" max="32"/>
    <col width="23" customWidth="1" style="323" min="33" max="33"/>
    <col width="33.13" customWidth="1" style="323" min="34" max="34"/>
    <col width="21.75" customWidth="1" style="323" min="35" max="35"/>
    <col width="18.75" customWidth="1" style="323" min="36" max="36"/>
    <col width="15.88" customWidth="1" style="323" min="37" max="37"/>
    <col width="19.75" customWidth="1" style="323" min="38" max="38"/>
    <col width="17.88" customWidth="1" style="323" min="39" max="39"/>
  </cols>
  <sheetData>
    <row r="1">
      <c r="A1" s="12" t="inlineStr">
        <is>
          <t>Mine Inventory</t>
        </is>
      </c>
      <c r="B1" s="73" t="n"/>
      <c r="C1" s="74" t="inlineStr">
        <is>
          <t>Mea. Au (oz)</t>
        </is>
      </c>
      <c r="D1" s="74" t="inlineStr">
        <is>
          <t>Ind. Au (oz)</t>
        </is>
      </c>
      <c r="E1" s="74" t="inlineStr">
        <is>
          <t>Inf. Au (oz)</t>
        </is>
      </c>
      <c r="F1" s="74" t="inlineStr">
        <is>
          <t>Assayed Au (oz)</t>
        </is>
      </c>
      <c r="G1" s="74" t="inlineStr">
        <is>
          <t>Mea. Ag (oz)</t>
        </is>
      </c>
      <c r="H1" s="74" t="inlineStr">
        <is>
          <t>Mea. Ag (oz)</t>
        </is>
      </c>
      <c r="I1" s="74" t="inlineStr">
        <is>
          <t>Mea. Ag (oz)</t>
        </is>
      </c>
      <c r="J1" s="74" t="inlineStr">
        <is>
          <t>Assayed Ag (oz)</t>
        </is>
      </c>
      <c r="K1" s="74" t="inlineStr">
        <is>
          <t>Ag-&gt;Au (oz)</t>
        </is>
      </c>
      <c r="L1" s="74" t="inlineStr">
        <is>
          <t>TTL Assayed Au (oz)</t>
        </is>
      </c>
      <c r="M1" s="74" t="inlineStr">
        <is>
          <t>Auth. Au (oz)</t>
        </is>
      </c>
      <c r="N1" s="74" t="inlineStr">
        <is>
          <t>Tripartite Level</t>
        </is>
      </c>
      <c r="O1" s="74" t="inlineStr">
        <is>
          <t>OCR Reserve (oz)</t>
        </is>
      </c>
      <c r="P1" s="74" t="inlineStr">
        <is>
          <t>Lifetime Release (oz)</t>
        </is>
      </c>
      <c r="Q1" s="74" t="inlineStr">
        <is>
          <t>Year 1 Unlock (oz)</t>
        </is>
      </c>
      <c r="R1" s="74" t="inlineStr">
        <is>
          <t>Liquidity Allocation (oz)</t>
        </is>
      </c>
      <c r="S1" s="74" t="inlineStr">
        <is>
          <t>Unitization Fee Pool (oz)</t>
        </is>
      </c>
      <c r="T1" s="74" t="inlineStr">
        <is>
          <t>Admin Units Pool (oz)</t>
        </is>
      </c>
      <c r="U1" s="74" t="inlineStr">
        <is>
          <t>Yearly Admin Fee (oz)</t>
        </is>
      </c>
      <c r="V1" s="74" t="inlineStr">
        <is>
          <t>Yearly Unitization Fee</t>
        </is>
      </c>
      <c r="W1" s="74" t="inlineStr">
        <is>
          <t>Yearly Unlock (oz)</t>
        </is>
      </c>
      <c r="X1" s="74" t="inlineStr">
        <is>
          <t>Grantor Comp ($)</t>
        </is>
      </c>
      <c r="Y1" s="74" t="inlineStr">
        <is>
          <t>Grantor Comp (oz)</t>
        </is>
      </c>
      <c r="Z1" s="74" t="inlineStr">
        <is>
          <t>Grantor Comp (%)</t>
        </is>
      </c>
      <c r="AA1" s="74" t="inlineStr">
        <is>
          <t>Comp Per Ounce</t>
        </is>
      </c>
      <c r="AB1" s="75" t="inlineStr">
        <is>
          <t>Lifetime Release ($)</t>
        </is>
      </c>
      <c r="AC1" s="74" t="inlineStr">
        <is>
          <t>1st Year Release ($)</t>
        </is>
      </c>
      <c r="AD1" s="74" t="inlineStr">
        <is>
          <t>Yearly Release ($)</t>
        </is>
      </c>
      <c r="AE1" s="74" t="inlineStr">
        <is>
          <t>1031 Allocation</t>
        </is>
      </c>
      <c r="AF1" s="74" t="inlineStr">
        <is>
          <t>Token Allocation</t>
        </is>
      </c>
      <c r="AG1" s="74" t="inlineStr">
        <is>
          <t>Supply Sales</t>
        </is>
      </c>
      <c r="AH1" s="74" t="inlineStr">
        <is>
          <t>1st Yr Monthly Token Sales From Trusts</t>
        </is>
      </c>
      <c r="AI1" s="74" t="inlineStr">
        <is>
          <t>Monthly Sales from Trusts</t>
        </is>
      </c>
      <c r="AJ1" s="74" t="inlineStr">
        <is>
          <t>Total Yearly Fees (oz)</t>
        </is>
      </c>
      <c r="AK1" s="74" t="inlineStr">
        <is>
          <t>Yearly Reg Fee ($)</t>
        </is>
      </c>
      <c r="AL1" s="74" t="inlineStr">
        <is>
          <t>Yearly Release Fees ($)</t>
        </is>
      </c>
      <c r="AM1" s="74" t="inlineStr">
        <is>
          <t>Total Yearly Fees ($)</t>
        </is>
      </c>
      <c r="AO1" t="inlineStr">
        <is>
          <t>Month Offset (Dynamic)</t>
        </is>
      </c>
    </row>
    <row r="2">
      <c r="A2" s="53" t="inlineStr">
        <is>
          <t>Courbet Mine</t>
        </is>
      </c>
      <c r="B2" s="94" t="inlineStr">
        <is>
          <t>Dec '25</t>
        </is>
      </c>
      <c r="C2" s="77" t="n">
        <v>0</v>
      </c>
      <c r="D2" s="77" t="n">
        <v>0</v>
      </c>
      <c r="E2" s="77" t="n">
        <v>46310</v>
      </c>
      <c r="F2" s="78">
        <f>sum(C2:E2)</f>
        <v/>
      </c>
      <c r="G2" s="77" t="n">
        <v>0</v>
      </c>
      <c r="H2" s="77" t="n">
        <v>0</v>
      </c>
      <c r="I2" s="77" t="n">
        <v>229600</v>
      </c>
      <c r="J2" s="78">
        <f>sum(G2:I2)</f>
        <v/>
      </c>
      <c r="K2" s="83">
        <f>J2/Inputs!B13</f>
        <v/>
      </c>
      <c r="L2" s="83">
        <f>F2+K2</f>
        <v/>
      </c>
      <c r="M2" s="80">
        <f>(C2*Inputs!B20)+(D2*Inputs!B21)+(E2*Inputs!B22)+(K2*Inputs!B22)</f>
        <v/>
      </c>
      <c r="N2" s="81" t="inlineStr">
        <is>
          <t>Mineral + Bio + Social Estate</t>
        </is>
      </c>
      <c r="O2" s="87">
        <f>M2-P2</f>
        <v/>
      </c>
      <c r="P2" s="83">
        <f>M2 * VALUE(SUBSTITUTE(VLOOKUP(N2, TTFconfig!A2:E4, 3, FALSE),, ""))
</f>
        <v/>
      </c>
      <c r="Q2" s="83">
        <f>M2 * VALUE(SUBSTITUTE(VLOOKUP(N2, TTFconfig!A2:E4, 4, FALSE),, ""))
</f>
        <v/>
      </c>
      <c r="R2" s="87">
        <f>M2*Inputs!$B$27</f>
        <v/>
      </c>
      <c r="S2" s="159">
        <f>M2*Inputs!$B$26</f>
        <v/>
      </c>
      <c r="T2" s="159">
        <f>M2*(Inputs!$B$25*50)</f>
        <v/>
      </c>
      <c r="U2" s="85">
        <f>M2*Inputs!B25</f>
        <v/>
      </c>
      <c r="V2" s="85">
        <f>M2*Inputs!B26</f>
        <v/>
      </c>
      <c r="W2" s="83">
        <f>(P2-Q2-R2-S2-T2-Y2) / VALUE(SUBSTITUTE(VLOOKUP(N2, TTFconfig!A2:E4, 5, FALSE),, ""))
</f>
        <v/>
      </c>
      <c r="X2" s="86" t="n">
        <v>750000</v>
      </c>
      <c r="Y2" s="87">
        <f>X2/Inputs!$B$10</f>
        <v/>
      </c>
      <c r="Z2" s="88">
        <f>Y2/M2</f>
        <v/>
      </c>
      <c r="AA2" s="89">
        <f>X2/L2</f>
        <v/>
      </c>
      <c r="AB2" s="181">
        <f>P2*Inputs!B10</f>
        <v/>
      </c>
      <c r="AC2" s="181">
        <f>Q2*Inputs!B10</f>
        <v/>
      </c>
      <c r="AD2" s="181">
        <f>W2*Inputs!B10</f>
        <v/>
      </c>
      <c r="AE2" s="91" t="n">
        <v>1</v>
      </c>
      <c r="AF2" s="92">
        <f>1-AE2</f>
        <v/>
      </c>
      <c r="AG2" s="81" t="inlineStr">
        <is>
          <t>Aggressive sales</t>
        </is>
      </c>
      <c r="AH2" s="93">
        <f>(Q2-'Resource Supply (5yr)'!G10) * AF2 * VALUE(SUBSTITUTE(VLOOKUP(AG2, Inputs!A32:B34, 2, FALSE),, ""))/12
</f>
        <v/>
      </c>
      <c r="AI2" s="93">
        <f>W2 * VALUE(SUBSTITUTE(VLOOKUP(AG2, Inputs!A32:B34, 2, FALSE),, ""))/12
</f>
        <v/>
      </c>
      <c r="AJ2" s="85">
        <f>U2+#REF!</f>
        <v/>
      </c>
      <c r="AK2" s="94" t="n"/>
      <c r="AL2" s="94" t="n"/>
      <c r="AM2" s="121">
        <f>AJ2*Inputs!B10</f>
        <v/>
      </c>
      <c r="AO2">
        <f>IFERROR(MATCH(B2,XAUconfig!$B$4:$BI$4,0)-1,"")</f>
        <v/>
      </c>
    </row>
    <row r="3">
      <c r="A3" s="38" t="inlineStr">
        <is>
          <t>Mine 2</t>
        </is>
      </c>
      <c r="B3" s="117" t="inlineStr">
        <is>
          <t>Jan '26</t>
        </is>
      </c>
      <c r="C3" s="124" t="n">
        <v>0</v>
      </c>
      <c r="D3" s="124" t="n">
        <v>150000</v>
      </c>
      <c r="E3" s="124" t="n">
        <v>200000</v>
      </c>
      <c r="F3" s="100">
        <f>sum(C3:E3)</f>
        <v/>
      </c>
      <c r="G3" s="124" t="n"/>
      <c r="H3" s="124" t="n"/>
      <c r="I3" s="124" t="n"/>
      <c r="J3" s="100" t="n"/>
      <c r="K3" s="100" t="n"/>
      <c r="L3" s="100" t="n"/>
      <c r="M3" s="98">
        <f>(C3*Inputs!B20)+(D3*Inputs!B21)+(E3*Inputs!B22)</f>
        <v/>
      </c>
      <c r="N3" s="242" t="inlineStr">
        <is>
          <t>Mineral + Bio Estate</t>
        </is>
      </c>
      <c r="O3" s="87">
        <f>M3-P3</f>
        <v/>
      </c>
      <c r="P3" s="100">
        <f>M3 * VALUE(SUBSTITUTE(VLOOKUP(N3, TTFconfig!A2:E4, 3, FALSE),, ""))
</f>
        <v/>
      </c>
      <c r="Q3" s="87">
        <f>M3 * VALUE(SUBSTITUTE(VLOOKUP(N3, TTFconfig!A2:E4, 4, FALSE),, ""))
</f>
        <v/>
      </c>
      <c r="R3" s="87">
        <f>M3*Inputs!$B$27</f>
        <v/>
      </c>
      <c r="S3" s="159">
        <f>M3*Inputs!$B$26</f>
        <v/>
      </c>
      <c r="T3" s="159">
        <f>M3*(Inputs!$B$25*50)</f>
        <v/>
      </c>
      <c r="U3" s="159">
        <f>M3*Inputs!B25</f>
        <v/>
      </c>
      <c r="V3" s="159">
        <f>(M3*Inputs!$B$26) / VALUE(SUBSTITUTE(VLOOKUP(N3, TTFconfig!A2:E4, 5, FALSE),, ""))</f>
        <v/>
      </c>
      <c r="W3" s="87">
        <f>(P3-Q3-R3-S3-T3-Y3) / VALUE(SUBSTITUTE(VLOOKUP(N3, TTFconfig!A2:E4, 5, FALSE),, ""))
</f>
        <v/>
      </c>
      <c r="X3" s="107" t="n"/>
      <c r="Y3" s="87">
        <f>X3/Inputs!$B$10</f>
        <v/>
      </c>
      <c r="Z3" s="100" t="n"/>
      <c r="AA3" s="100" t="n"/>
      <c r="AB3" s="133">
        <f>P3*Inputs!B10</f>
        <v/>
      </c>
      <c r="AC3" s="133">
        <f>Q3*Inputs!B10</f>
        <v/>
      </c>
      <c r="AD3" s="133">
        <f>W3*Inputs!B10</f>
        <v/>
      </c>
      <c r="AE3" s="103" t="n">
        <v>0.5</v>
      </c>
      <c r="AF3" s="198">
        <f>1-AE3</f>
        <v/>
      </c>
      <c r="AG3" s="242" t="inlineStr">
        <is>
          <t>Aggressive sales</t>
        </is>
      </c>
      <c r="AH3" s="105">
        <f>(Q3-'Resource Supply (5yr)'!G10) * AF3 * VALUE(SUBSTITUTE(VLOOKUP(AG3, Inputs!A32:B34, 2, FALSE),, ""))/12
</f>
        <v/>
      </c>
      <c r="AI3" s="105">
        <f>W3 * VALUE(SUBSTITUTE(VLOOKUP(AG3, Inputs!A32:B34, 2, FALSE),, ""))/12
</f>
        <v/>
      </c>
      <c r="AJ3" s="159">
        <f>U3+#REF!</f>
        <v/>
      </c>
      <c r="AM3" s="106" t="n"/>
      <c r="AO3">
        <f>IFERROR(MATCH(B3,XAUconfig!$B$4:$BI$4,0)-1,"")</f>
        <v/>
      </c>
    </row>
    <row r="4">
      <c r="A4" s="38" t="inlineStr">
        <is>
          <t>Mine 3</t>
        </is>
      </c>
      <c r="B4" s="117" t="inlineStr">
        <is>
          <t>Jan '26</t>
        </is>
      </c>
      <c r="C4" s="124" t="n">
        <v>100000</v>
      </c>
      <c r="D4" s="124" t="n">
        <v>800000</v>
      </c>
      <c r="E4" s="124" t="n">
        <v>100000</v>
      </c>
      <c r="F4" s="100">
        <f>sum(C4:E4)</f>
        <v/>
      </c>
      <c r="G4" s="124" t="n"/>
      <c r="H4" s="124" t="n"/>
      <c r="I4" s="124" t="n"/>
      <c r="J4" s="100" t="n"/>
      <c r="K4" s="100" t="n"/>
      <c r="L4" s="100" t="n"/>
      <c r="M4" s="98">
        <f>(C4*Inputs!B20)+(D4*Inputs!B21)+(E4*Inputs!B22)</f>
        <v/>
      </c>
      <c r="N4" s="242" t="inlineStr">
        <is>
          <t>Mineral Estate</t>
        </is>
      </c>
      <c r="O4" s="87">
        <f>M4-P4</f>
        <v/>
      </c>
      <c r="P4" s="100">
        <f>M4 * VALUE(SUBSTITUTE(VLOOKUP(N4, TTFconfig!A2:E4, 3, FALSE),, ""))
</f>
        <v/>
      </c>
      <c r="Q4" s="87">
        <f>M4 * VALUE(SUBSTITUTE(VLOOKUP(N4, TTFconfig!A2:E4, 4, FALSE),, ""))
</f>
        <v/>
      </c>
      <c r="R4" s="87">
        <f>M4*Inputs!$B$27</f>
        <v/>
      </c>
      <c r="S4" s="159">
        <f>M4*Inputs!$B$26</f>
        <v/>
      </c>
      <c r="T4" s="159">
        <f>M4*(Inputs!$B$25*50)</f>
        <v/>
      </c>
      <c r="U4" s="159">
        <f>M4*Inputs!B25</f>
        <v/>
      </c>
      <c r="V4" s="159">
        <f>(M4*Inputs!$B$26) / VALUE(SUBSTITUTE(VLOOKUP(N4, TTFconfig!A2:E4, 5, FALSE),, ""))</f>
        <v/>
      </c>
      <c r="W4" s="87">
        <f>(P4-Q4-R4-S4-T4-Y4) / VALUE(SUBSTITUTE(VLOOKUP(N3, TTFconfig!A2:E4, 5, FALSE),, ""))
</f>
        <v/>
      </c>
      <c r="X4" s="107" t="n"/>
      <c r="Y4" s="87">
        <f>X4/Inputs!$B$10</f>
        <v/>
      </c>
      <c r="Z4" s="100" t="n"/>
      <c r="AA4" s="100" t="n"/>
      <c r="AB4" s="133">
        <f>P4*Inputs!B10</f>
        <v/>
      </c>
      <c r="AC4" s="133">
        <f>Q4*Inputs!B10</f>
        <v/>
      </c>
      <c r="AD4" s="133">
        <f>W4*Inputs!B10</f>
        <v/>
      </c>
      <c r="AE4" s="103" t="n">
        <v>0.5</v>
      </c>
      <c r="AF4" s="198">
        <f>1-AE4</f>
        <v/>
      </c>
      <c r="AG4" s="242" t="inlineStr">
        <is>
          <t>Moderate sales</t>
        </is>
      </c>
      <c r="AH4" s="105">
        <f>(Q4-'Resource Supply (5yr)'!G10) *AF4 * VALUE(SUBSTITUTE(VLOOKUP(AG4, Inputs!A32:B34, 2, FALSE),, ""))/12
</f>
        <v/>
      </c>
      <c r="AI4" s="105">
        <f>W4 * VALUE(SUBSTITUTE(VLOOKUP(AG4, Inputs!A32:B34, 2, FALSE),, ""))/12
</f>
        <v/>
      </c>
      <c r="AJ4" s="159">
        <f>U4+#REF!</f>
        <v/>
      </c>
      <c r="AM4" s="106" t="n"/>
      <c r="AO4">
        <f>IFERROR(MATCH(B4,XAUconfig!$B$4:$BI$4,0)-1,"")</f>
        <v/>
      </c>
    </row>
    <row r="5">
      <c r="A5" s="38" t="inlineStr">
        <is>
          <t>Mine 4</t>
        </is>
      </c>
      <c r="B5" s="117" t="inlineStr">
        <is>
          <t>Apr '26</t>
        </is>
      </c>
      <c r="C5" s="124" t="n">
        <v>25000</v>
      </c>
      <c r="D5" s="124" t="n">
        <v>250000</v>
      </c>
      <c r="E5" s="124" t="n">
        <v>50000</v>
      </c>
      <c r="F5" s="100">
        <f>sum(C5:E5)</f>
        <v/>
      </c>
      <c r="G5" s="124" t="n"/>
      <c r="H5" s="124" t="n"/>
      <c r="I5" s="124" t="n"/>
      <c r="J5" s="100" t="n"/>
      <c r="K5" s="100" t="n"/>
      <c r="L5" s="100" t="n"/>
      <c r="M5" s="98">
        <f>(C5*Inputs!B20)+(D5*Inputs!B21)+(E5*Inputs!B22)</f>
        <v/>
      </c>
      <c r="N5" s="242" t="inlineStr">
        <is>
          <t>Mineral + Bio Estate</t>
        </is>
      </c>
      <c r="O5" s="87">
        <f>M5-P5</f>
        <v/>
      </c>
      <c r="P5" s="100">
        <f>M5 * VALUE(SUBSTITUTE(VLOOKUP(N5, TTFconfig!A2:E4, 3, FALSE),, ""))
</f>
        <v/>
      </c>
      <c r="Q5" s="87">
        <f>M5 * VALUE(SUBSTITUTE(VLOOKUP(N5, TTFconfig!A2:E4, 4, FALSE),, ""))
</f>
        <v/>
      </c>
      <c r="R5" s="87">
        <f>M5*Inputs!$B$27</f>
        <v/>
      </c>
      <c r="S5" s="159">
        <f>M5*Inputs!$B$26</f>
        <v/>
      </c>
      <c r="T5" s="159">
        <f>M5*(Inputs!$B$25*50)</f>
        <v/>
      </c>
      <c r="U5" s="159">
        <f>M5*Inputs!B25</f>
        <v/>
      </c>
      <c r="V5" s="159">
        <f>(M5*Inputs!$B$26) / VALUE(SUBSTITUTE(VLOOKUP(N5, TTFconfig!A2:E4, 5, FALSE),, ""))</f>
        <v/>
      </c>
      <c r="W5" s="87">
        <f>(P5-Q5-R5-S5-T5-Y5) / VALUE(SUBSTITUTE(VLOOKUP(N5, TTFconfig!A2:E4, 5, FALSE),, ""))
</f>
        <v/>
      </c>
      <c r="X5" s="107" t="n"/>
      <c r="Y5" s="87">
        <f>X5/Inputs!$B$10</f>
        <v/>
      </c>
      <c r="Z5" s="100" t="n"/>
      <c r="AA5" s="100" t="n"/>
      <c r="AB5" s="133">
        <f>P5*Inputs!B10</f>
        <v/>
      </c>
      <c r="AC5" s="133">
        <f>Q5*Inputs!B10</f>
        <v/>
      </c>
      <c r="AD5" s="133">
        <f>W5*Inputs!B10</f>
        <v/>
      </c>
      <c r="AE5" s="103" t="n">
        <v>0.5</v>
      </c>
      <c r="AF5" s="198">
        <f>1-AE5</f>
        <v/>
      </c>
      <c r="AG5" s="242" t="inlineStr">
        <is>
          <t>Moderate sales</t>
        </is>
      </c>
      <c r="AH5" s="105">
        <f>(Q5-'Resource Supply (5yr)'!G10) * AF5 * VALUE(SUBSTITUTE(VLOOKUP(AG5, Inputs!A32:B34, 2, FALSE),, ""))/12
</f>
        <v/>
      </c>
      <c r="AI5" s="105">
        <f>W5 * VALUE(SUBSTITUTE(VLOOKUP(AG5, Inputs!A32:B34, 2, FALSE),, ""))/12
</f>
        <v/>
      </c>
      <c r="AJ5" s="159">
        <f>U5+#REF!</f>
        <v/>
      </c>
      <c r="AM5" s="106" t="n"/>
      <c r="AO5">
        <f>IFERROR(MATCH(B5,XAUconfig!$B$4:$BI$4,0)-1,"")</f>
        <v/>
      </c>
    </row>
    <row r="6">
      <c r="A6" s="38" t="inlineStr">
        <is>
          <t>Mine 5</t>
        </is>
      </c>
      <c r="B6" s="117" t="inlineStr">
        <is>
          <t>Jul '26</t>
        </is>
      </c>
      <c r="C6" s="124" t="n">
        <v>50000</v>
      </c>
      <c r="D6" s="124" t="n">
        <v>490000</v>
      </c>
      <c r="E6" s="124" t="n">
        <v>170000</v>
      </c>
      <c r="F6" s="100">
        <f>sum(C6:E6)</f>
        <v/>
      </c>
      <c r="G6" s="124" t="n"/>
      <c r="H6" s="124" t="n"/>
      <c r="I6" s="124" t="n"/>
      <c r="J6" s="100" t="n"/>
      <c r="K6" s="100" t="n"/>
      <c r="L6" s="100" t="n"/>
      <c r="M6" s="98">
        <f>(C6*Inputs!B20)+(D6*Inputs!B21)+(E6*Inputs!B22)</f>
        <v/>
      </c>
      <c r="N6" s="242" t="inlineStr">
        <is>
          <t>Mineral + Bio + Social Estate</t>
        </is>
      </c>
      <c r="O6" s="87">
        <f>M6-P6</f>
        <v/>
      </c>
      <c r="P6" s="100">
        <f>M6 * VALUE(SUBSTITUTE(VLOOKUP(N6, TTFconfig!A2:E4, 3, FALSE),, ""))
</f>
        <v/>
      </c>
      <c r="Q6" s="87">
        <f>M6 * VALUE(SUBSTITUTE(VLOOKUP(N6, TTFconfig!A2:E4, 4, FALSE),, ""))
</f>
        <v/>
      </c>
      <c r="R6" s="87">
        <f>M6*Inputs!$B$27</f>
        <v/>
      </c>
      <c r="S6" s="159">
        <f>M6*Inputs!$B$26</f>
        <v/>
      </c>
      <c r="T6" s="159">
        <f>M6*(Inputs!$B$25*50)</f>
        <v/>
      </c>
      <c r="U6" s="159">
        <f>M6*Inputs!B25</f>
        <v/>
      </c>
      <c r="V6" s="159">
        <f>(M6*Inputs!$B$26) / VALUE(SUBSTITUTE(VLOOKUP(N6, TTFconfig!A2:E4, 5, FALSE),, ""))</f>
        <v/>
      </c>
      <c r="W6" s="87">
        <f>(P6-Q6-R6-S6-T6-Y6) / VALUE(SUBSTITUTE(VLOOKUP(N6, TTFconfig!A2:E4, 5, FALSE),, ""))
</f>
        <v/>
      </c>
      <c r="X6" s="107" t="n"/>
      <c r="Y6" s="87">
        <f>X6/Inputs!$B$10</f>
        <v/>
      </c>
      <c r="Z6" s="100" t="n"/>
      <c r="AA6" s="100" t="n"/>
      <c r="AB6" s="133">
        <f>P6*Inputs!B10</f>
        <v/>
      </c>
      <c r="AC6" s="133">
        <f>Q6*Inputs!B9</f>
        <v/>
      </c>
      <c r="AD6" s="133">
        <f>W6*Inputs!B10</f>
        <v/>
      </c>
      <c r="AE6" s="103" t="n">
        <v>0.5</v>
      </c>
      <c r="AF6" s="198">
        <f>1-AE6</f>
        <v/>
      </c>
      <c r="AG6" s="242" t="inlineStr">
        <is>
          <t>Moderate sales</t>
        </is>
      </c>
      <c r="AH6" s="105">
        <f>(Q6-'Resource Supply (5yr)'!G10) * AF6 * VALUE(SUBSTITUTE(VLOOKUP(AG6, Inputs!A32:B34, 2, FALSE),, ""))/12
</f>
        <v/>
      </c>
      <c r="AI6" s="105">
        <f>W6 * VALUE(SUBSTITUTE(VLOOKUP(AG6, Inputs!A32:B34, 2, FALSE),, ""))/12
</f>
        <v/>
      </c>
      <c r="AJ6" s="159">
        <f>U6+#REF!</f>
        <v/>
      </c>
      <c r="AM6" s="106" t="n"/>
      <c r="AO6">
        <f>IFERROR(MATCH(B6,XAUconfig!$B$4:$BI$4,0)-1,"")</f>
        <v/>
      </c>
    </row>
    <row r="7">
      <c r="A7" s="38" t="inlineStr">
        <is>
          <t>Mine 6</t>
        </is>
      </c>
      <c r="B7" s="117" t="inlineStr">
        <is>
          <t>Dec '26</t>
        </is>
      </c>
      <c r="C7" s="124" t="n">
        <v>10000</v>
      </c>
      <c r="D7" s="124" t="n">
        <v>50000</v>
      </c>
      <c r="E7" s="124" t="n">
        <v>40000</v>
      </c>
      <c r="F7" s="100">
        <f>sum(C7:E7)</f>
        <v/>
      </c>
      <c r="G7" s="124" t="n"/>
      <c r="H7" s="124" t="n"/>
      <c r="I7" s="124" t="n"/>
      <c r="J7" s="100" t="n"/>
      <c r="K7" s="100" t="n"/>
      <c r="L7" s="100" t="n"/>
      <c r="M7" s="98">
        <f>(C7*Inputs!B20)+(D7*Inputs!B21)+(E7*Inputs!B22)</f>
        <v/>
      </c>
      <c r="N7" s="242" t="inlineStr">
        <is>
          <t>Mineral + Bio + Social Estate</t>
        </is>
      </c>
      <c r="O7" s="87">
        <f>M7-P7</f>
        <v/>
      </c>
      <c r="P7" s="100">
        <f>M7 * VALUE(SUBSTITUTE(VLOOKUP(N7, TTFconfig!A2:E4, 3, FALSE),, ""))
</f>
        <v/>
      </c>
      <c r="Q7" s="87">
        <f>M7 * VALUE(SUBSTITUTE(VLOOKUP(N7, TTFconfig!A2:E4, 4, FALSE),, ""))
</f>
        <v/>
      </c>
      <c r="R7" s="87">
        <f>M7*Inputs!$B$27</f>
        <v/>
      </c>
      <c r="S7" s="159">
        <f>M7*Inputs!$B$26</f>
        <v/>
      </c>
      <c r="T7" s="159">
        <f>M7*(Inputs!$B$25*50)</f>
        <v/>
      </c>
      <c r="U7" s="159">
        <f>M7*Inputs!B25</f>
        <v/>
      </c>
      <c r="V7" s="159">
        <f>(M7*Inputs!$B$26) / VALUE(SUBSTITUTE(VLOOKUP(N7, TTFconfig!A2:E4, 5, FALSE),, ""))</f>
        <v/>
      </c>
      <c r="W7" s="87">
        <f>(P7-Q7-R7-S7-T7-Y7) / VALUE(SUBSTITUTE(VLOOKUP(N7, TTFconfig!A2:E4, 5, FALSE),, ""))
</f>
        <v/>
      </c>
      <c r="X7" s="107" t="n"/>
      <c r="Y7" s="87">
        <f>X7/Inputs!$B$10</f>
        <v/>
      </c>
      <c r="Z7" s="100" t="n"/>
      <c r="AA7" s="100" t="n"/>
      <c r="AB7" s="133">
        <f>P7*Inputs!B10</f>
        <v/>
      </c>
      <c r="AC7" s="133">
        <f>Q7*Inputs!B10</f>
        <v/>
      </c>
      <c r="AD7" s="133">
        <f>W7*Inputs!B10</f>
        <v/>
      </c>
      <c r="AE7" s="103" t="n">
        <v>0.5</v>
      </c>
      <c r="AF7" s="198">
        <f>1-AE7</f>
        <v/>
      </c>
      <c r="AG7" s="242" t="inlineStr">
        <is>
          <t>Moderate sales</t>
        </is>
      </c>
      <c r="AH7" s="105">
        <f>(Q7-'Resource Supply (5yr)'!G10) *AF7* VALUE(SUBSTITUTE(VLOOKUP(AG7, Inputs!A32:B34, 2, FALSE),, ""))/12
</f>
        <v/>
      </c>
      <c r="AI7" s="105">
        <f>W7 * VALUE(SUBSTITUTE(VLOOKUP(AG7, Inputs!A32:B34, 2, FALSE),, ""))/12
</f>
        <v/>
      </c>
      <c r="AJ7" s="159">
        <f>U7+#REF!</f>
        <v/>
      </c>
      <c r="AM7" s="106" t="n"/>
      <c r="AO7">
        <f>IFERROR(MATCH(B7,XAUconfig!$B$4:$BI$4,0)-1,"")</f>
        <v/>
      </c>
    </row>
    <row r="8">
      <c r="A8" s="38" t="inlineStr">
        <is>
          <t>Mine 7</t>
        </is>
      </c>
      <c r="B8" s="117" t="inlineStr">
        <is>
          <t>Mar '27</t>
        </is>
      </c>
      <c r="C8" s="124" t="n">
        <v>25000</v>
      </c>
      <c r="D8" s="124" t="n">
        <v>100000</v>
      </c>
      <c r="E8" s="124" t="n">
        <v>50000</v>
      </c>
      <c r="F8" s="100">
        <f>sum(C8:E8)</f>
        <v/>
      </c>
      <c r="G8" s="124" t="n"/>
      <c r="H8" s="124" t="n"/>
      <c r="I8" s="124" t="n"/>
      <c r="J8" s="100" t="n"/>
      <c r="K8" s="100" t="n"/>
      <c r="L8" s="100" t="n"/>
      <c r="M8" s="98">
        <f>(C8*Inputs!B20)+(D8*Inputs!B21)+(E8*Inputs!B22)</f>
        <v/>
      </c>
      <c r="N8" s="242" t="inlineStr">
        <is>
          <t>Mineral Estate</t>
        </is>
      </c>
      <c r="O8" s="87">
        <f>M8-P8</f>
        <v/>
      </c>
      <c r="P8" s="100">
        <f>M8 * VALUE(SUBSTITUTE(VLOOKUP(N8, TTFconfig!A2:E4, 3, FALSE),, ""))
</f>
        <v/>
      </c>
      <c r="Q8" s="87">
        <f>M8 * VALUE(SUBSTITUTE(VLOOKUP(N8, TTFconfig!A2:E4, 4, FALSE),, ""))
</f>
        <v/>
      </c>
      <c r="R8" s="87">
        <f>M8*Inputs!$B$27</f>
        <v/>
      </c>
      <c r="S8" s="159">
        <f>M8*Inputs!$B$26</f>
        <v/>
      </c>
      <c r="T8" s="159">
        <f>M8*(Inputs!$B$25*50)</f>
        <v/>
      </c>
      <c r="U8" s="159">
        <f>M8*Inputs!B25</f>
        <v/>
      </c>
      <c r="V8" s="159">
        <f>(M8*Inputs!$B$26) / VALUE(SUBSTITUTE(VLOOKUP(N8, TTFconfig!A2:E4, 5, FALSE),, ""))</f>
        <v/>
      </c>
      <c r="W8" s="87">
        <f>(P8-Q8-R8-S8-T8-Y8) / VALUE(SUBSTITUTE(VLOOKUP(N8, TTFconfig!A2:E4, 5, FALSE),, ""))
</f>
        <v/>
      </c>
      <c r="X8" s="107" t="n"/>
      <c r="Y8" s="87">
        <f>X8/Inputs!$B$10</f>
        <v/>
      </c>
      <c r="Z8" s="100" t="n"/>
      <c r="AA8" s="100" t="n"/>
      <c r="AB8" s="133">
        <f>P8*Inputs!B10</f>
        <v/>
      </c>
      <c r="AC8" s="133">
        <f>Q8*Inputs!B10</f>
        <v/>
      </c>
      <c r="AD8" s="133">
        <f>W8*Inputs!B10</f>
        <v/>
      </c>
      <c r="AE8" s="103" t="n">
        <v>0.5</v>
      </c>
      <c r="AF8" s="198">
        <f>1-AE8</f>
        <v/>
      </c>
      <c r="AG8" s="242" t="inlineStr">
        <is>
          <t>Moderate sales</t>
        </is>
      </c>
      <c r="AH8" s="105">
        <f>(Q8-'Resource Supply (5yr)'!G10) *AF8 * VALUE(SUBSTITUTE(VLOOKUP(AG8, Inputs!A32:B34, 2, FALSE),, ""))/12
</f>
        <v/>
      </c>
      <c r="AI8" s="105">
        <f>W8 * VALUE(SUBSTITUTE(VLOOKUP(AG8, Inputs!A32:B34, 2, FALSE),, ""))/12
</f>
        <v/>
      </c>
      <c r="AJ8" s="159">
        <f>U8+#REF!</f>
        <v/>
      </c>
      <c r="AM8" s="106" t="n"/>
      <c r="AO8">
        <f>IFERROR(MATCH(B8,XAUconfig!$B$4:$BI$4,0)-1,"")</f>
        <v/>
      </c>
    </row>
    <row r="9">
      <c r="A9" s="38" t="inlineStr">
        <is>
          <t>Mine 8</t>
        </is>
      </c>
      <c r="B9" s="117" t="inlineStr">
        <is>
          <t>Jun '27</t>
        </is>
      </c>
      <c r="C9" s="124" t="n">
        <v>200000</v>
      </c>
      <c r="D9" s="124" t="n">
        <v>1000000</v>
      </c>
      <c r="E9" s="124" t="n">
        <v>100000</v>
      </c>
      <c r="F9" s="100">
        <f>sum(C9:E9)</f>
        <v/>
      </c>
      <c r="G9" s="124" t="n"/>
      <c r="H9" s="124" t="n"/>
      <c r="I9" s="124" t="n"/>
      <c r="J9" s="100" t="n"/>
      <c r="K9" s="100" t="n"/>
      <c r="L9" s="100" t="n"/>
      <c r="M9" s="98">
        <f>(C9*Inputs!B20)+(D9*Inputs!B21)+(E9*Inputs!B22)</f>
        <v/>
      </c>
      <c r="N9" s="242" t="inlineStr">
        <is>
          <t>Mineral Estate</t>
        </is>
      </c>
      <c r="O9" s="87">
        <f>M9-P9</f>
        <v/>
      </c>
      <c r="P9" s="100">
        <f>M9 * VALUE(SUBSTITUTE(VLOOKUP(N9, TTFconfig!A2:E4, 3, FALSE),, ""))
</f>
        <v/>
      </c>
      <c r="Q9" s="87">
        <f>M9 * VALUE(SUBSTITUTE(VLOOKUP(N9, TTFconfig!A2:E4, 4, FALSE),, ""))
</f>
        <v/>
      </c>
      <c r="R9" s="87">
        <f>M9*Inputs!$B$27</f>
        <v/>
      </c>
      <c r="S9" s="159">
        <f>M9*Inputs!$B$26</f>
        <v/>
      </c>
      <c r="T9" s="159">
        <f>M9*(Inputs!$B$25*50)</f>
        <v/>
      </c>
      <c r="U9" s="159">
        <f>M9*Inputs!B25</f>
        <v/>
      </c>
      <c r="V9" s="159">
        <f>(M9*Inputs!$B$26) / VALUE(SUBSTITUTE(VLOOKUP(N9, TTFconfig!A2:E4, 5, FALSE),, ""))</f>
        <v/>
      </c>
      <c r="W9" s="87">
        <f>(P9-Q9-R9-S9-T9-Y9) / VALUE(SUBSTITUTE(VLOOKUP(N9, TTFconfig!A2:E4, 5, FALSE),, ""))
</f>
        <v/>
      </c>
      <c r="X9" s="107" t="n"/>
      <c r="Y9" s="87">
        <f>X9/Inputs!$B$10</f>
        <v/>
      </c>
      <c r="Z9" s="100" t="n"/>
      <c r="AA9" s="100" t="n"/>
      <c r="AB9" s="133">
        <f>P9*Inputs!B10</f>
        <v/>
      </c>
      <c r="AC9" s="133">
        <f>Q9*Inputs!B10</f>
        <v/>
      </c>
      <c r="AD9" s="133">
        <f>W9*Inputs!B10</f>
        <v/>
      </c>
      <c r="AE9" s="103" t="n">
        <v>0.5</v>
      </c>
      <c r="AF9" s="198">
        <f>1-AE9</f>
        <v/>
      </c>
      <c r="AG9" s="242" t="inlineStr">
        <is>
          <t>Moderate sales</t>
        </is>
      </c>
      <c r="AH9" s="105">
        <f>(Q9-'Resource Supply (5yr)'!G10) * AF9 * VALUE(SUBSTITUTE(VLOOKUP(AG9, Inputs!A32:B34, 2, FALSE),, ""))/12
</f>
        <v/>
      </c>
      <c r="AI9" s="105">
        <f>W9 * VALUE(SUBSTITUTE(VLOOKUP(AG9, Inputs!A32:B34, 2, FALSE),, ""))/12
</f>
        <v/>
      </c>
      <c r="AJ9" s="159">
        <f>U9+#REF!</f>
        <v/>
      </c>
      <c r="AM9" s="106" t="n"/>
      <c r="AO9">
        <f>IFERROR(MATCH(B9,XAUconfig!$B$4:$BI$4,0)-1,"")</f>
        <v/>
      </c>
    </row>
    <row r="10">
      <c r="A10" s="38" t="inlineStr">
        <is>
          <t>Mine 9</t>
        </is>
      </c>
      <c r="B10" s="117" t="inlineStr">
        <is>
          <t>Aug '27</t>
        </is>
      </c>
      <c r="C10" s="124" t="n">
        <v>50000</v>
      </c>
      <c r="D10" s="124" t="n">
        <v>490000</v>
      </c>
      <c r="E10" s="124" t="n">
        <v>170000</v>
      </c>
      <c r="F10" s="100">
        <f>sum(C10:E10)</f>
        <v/>
      </c>
      <c r="G10" s="124" t="n"/>
      <c r="H10" s="124" t="n"/>
      <c r="I10" s="124" t="n"/>
      <c r="J10" s="100" t="n"/>
      <c r="K10" s="100" t="n"/>
      <c r="L10" s="100" t="n"/>
      <c r="M10" s="98">
        <f>(C10*Inputs!B20)+(D10*Inputs!B21)+(E10*Inputs!B22)</f>
        <v/>
      </c>
      <c r="N10" s="242" t="inlineStr">
        <is>
          <t>Mineral + Bio Estate</t>
        </is>
      </c>
      <c r="O10" s="87">
        <f>M10-P10</f>
        <v/>
      </c>
      <c r="P10" s="100">
        <f>M10 * VALUE(SUBSTITUTE(VLOOKUP(N10, TTFconfig!A2:E4, 3, FALSE),, ""))
</f>
        <v/>
      </c>
      <c r="Q10" s="87">
        <f>M10 * VALUE(SUBSTITUTE(VLOOKUP(N10, TTFconfig!A2:E4, 4, FALSE),, ""))
</f>
        <v/>
      </c>
      <c r="R10" s="87">
        <f>M10*Inputs!$B$27</f>
        <v/>
      </c>
      <c r="S10" s="159">
        <f>M10*Inputs!$B$26</f>
        <v/>
      </c>
      <c r="T10" s="159">
        <f>M10*(Inputs!$B$25*50)</f>
        <v/>
      </c>
      <c r="U10" s="159">
        <f>M10*Inputs!B25</f>
        <v/>
      </c>
      <c r="V10" s="159">
        <f>(M10*Inputs!$B$26) / VALUE(SUBSTITUTE(VLOOKUP(N10, TTFconfig!A2:E4, 5, FALSE),, ""))</f>
        <v/>
      </c>
      <c r="W10" s="87">
        <f>(P10-Q10-R10-S10-T10-Y10) / VALUE(SUBSTITUTE(VLOOKUP(N10, TTFconfig!A2:E4, 5, FALSE),, ""))
</f>
        <v/>
      </c>
      <c r="X10" s="107" t="n"/>
      <c r="Y10" s="87">
        <f>X10/Inputs!$B$10</f>
        <v/>
      </c>
      <c r="Z10" s="100" t="n"/>
      <c r="AA10" s="100" t="n"/>
      <c r="AB10" s="133">
        <f>P10*Inputs!B9</f>
        <v/>
      </c>
      <c r="AC10" s="133">
        <f>Q10*Inputs!B10</f>
        <v/>
      </c>
      <c r="AD10" s="133">
        <f>W10*Inputs!B10</f>
        <v/>
      </c>
      <c r="AE10" s="103" t="n">
        <v>0.5</v>
      </c>
      <c r="AF10" s="198">
        <f>1-AE10</f>
        <v/>
      </c>
      <c r="AG10" s="242" t="inlineStr">
        <is>
          <t>Moderate sales</t>
        </is>
      </c>
      <c r="AH10" s="105">
        <f>(Q10-'Resource Supply (5yr)'!G10) * AF10 * VALUE(SUBSTITUTE(VLOOKUP(AG10, Inputs!A32:B34, 2, FALSE),, ""))/12
</f>
        <v/>
      </c>
      <c r="AI10" s="105">
        <f>W10 * VALUE(SUBSTITUTE(VLOOKUP(AG10, Inputs!A32:B34, 2, FALSE),, ""))/12
</f>
        <v/>
      </c>
      <c r="AJ10" s="159">
        <f>U10+#REF!</f>
        <v/>
      </c>
      <c r="AM10" s="106" t="n"/>
      <c r="AO10">
        <f>IFERROR(MATCH(B10,XAUconfig!$B$4:$BI$4,0)-1,"")</f>
        <v/>
      </c>
    </row>
    <row r="11">
      <c r="A11" s="38" t="inlineStr">
        <is>
          <t>Mine 10</t>
        </is>
      </c>
      <c r="B11" s="117" t="inlineStr">
        <is>
          <t>Feb '28</t>
        </is>
      </c>
      <c r="C11" s="124" t="n">
        <v>200000</v>
      </c>
      <c r="D11" s="124" t="n">
        <v>1000000</v>
      </c>
      <c r="E11" s="124" t="n">
        <v>100000</v>
      </c>
      <c r="F11" s="100">
        <f>sum(C11:E11)</f>
        <v/>
      </c>
      <c r="G11" s="124" t="n"/>
      <c r="H11" s="124" t="n"/>
      <c r="I11" s="124" t="n"/>
      <c r="J11" s="100" t="n"/>
      <c r="K11" s="100" t="n"/>
      <c r="L11" s="100" t="n"/>
      <c r="M11" s="98">
        <f>(C11*Inputs!B20)+(D11*Inputs!B21)+(E11*Inputs!B22)</f>
        <v/>
      </c>
      <c r="N11" s="242" t="inlineStr">
        <is>
          <t>Mineral Estate</t>
        </is>
      </c>
      <c r="O11" s="87">
        <f>M11-P11</f>
        <v/>
      </c>
      <c r="P11" s="100">
        <f>M11 * VALUE(SUBSTITUTE(VLOOKUP(N11, TTFconfig!A2:E4, 3, FALSE),, ""))
</f>
        <v/>
      </c>
      <c r="Q11" s="87">
        <f>M11 * VALUE(SUBSTITUTE(VLOOKUP(N11, TTFconfig!A2:E4, 4, FALSE),, ""))
</f>
        <v/>
      </c>
      <c r="R11" s="87">
        <f>M11*Inputs!$B$27</f>
        <v/>
      </c>
      <c r="S11" s="159">
        <f>M11*Inputs!$B$26</f>
        <v/>
      </c>
      <c r="T11" s="159">
        <f>M11*(Inputs!$B$25*50)</f>
        <v/>
      </c>
      <c r="U11" s="159">
        <f>M11*Inputs!B25</f>
        <v/>
      </c>
      <c r="V11" s="159">
        <f>(M11*Inputs!$B$26) / VALUE(SUBSTITUTE(VLOOKUP(N11, TTFconfig!A2:E4, 5, FALSE),, ""))</f>
        <v/>
      </c>
      <c r="W11" s="87">
        <f>(P11-Q11-R11-S11-T11-Y11) / VALUE(SUBSTITUTE(VLOOKUP(N11, TTFconfig!A2:E4, 5, FALSE),, ""))
</f>
        <v/>
      </c>
      <c r="X11" s="107" t="n"/>
      <c r="Y11" s="87">
        <f>X11/Inputs!$B$10</f>
        <v/>
      </c>
      <c r="Z11" s="100" t="n"/>
      <c r="AA11" s="100" t="n"/>
      <c r="AB11" s="133">
        <f>P11*Inputs!B10</f>
        <v/>
      </c>
      <c r="AC11" s="133">
        <f>Q11*Inputs!B10</f>
        <v/>
      </c>
      <c r="AD11" s="133">
        <f>W11*Inputs!B10</f>
        <v/>
      </c>
      <c r="AE11" s="103" t="n">
        <v>0.5</v>
      </c>
      <c r="AF11" s="198">
        <f>1-AE11</f>
        <v/>
      </c>
      <c r="AG11" s="242" t="inlineStr">
        <is>
          <t>Conservative sales</t>
        </is>
      </c>
      <c r="AH11" s="105">
        <f>(Q11-'Resource Supply (5yr)'!G10) * AF11 * VALUE(SUBSTITUTE(VLOOKUP(AG11, Inputs!A32:B34, 2, FALSE),, ""))/12
</f>
        <v/>
      </c>
      <c r="AI11" s="105">
        <f>W11 * VALUE(SUBSTITUTE(VLOOKUP(AG11, Inputs!A32:B34, 2, FALSE),, ""))/12
</f>
        <v/>
      </c>
      <c r="AJ11" s="159">
        <f>U11+#REF!</f>
        <v/>
      </c>
      <c r="AM11" s="106" t="n"/>
      <c r="AO11">
        <f>IFERROR(MATCH(B11,XAUconfig!$B$4:$BI$4,0)-1,"")</f>
        <v/>
      </c>
    </row>
    <row r="12">
      <c r="A12" s="38" t="inlineStr">
        <is>
          <t>Mine 11</t>
        </is>
      </c>
      <c r="B12" s="117" t="inlineStr">
        <is>
          <t>May '28</t>
        </is>
      </c>
      <c r="C12" s="124" t="n">
        <v>50000</v>
      </c>
      <c r="D12" s="124" t="n">
        <v>490000</v>
      </c>
      <c r="E12" s="124" t="n">
        <v>170000</v>
      </c>
      <c r="F12" s="100">
        <f>sum(C12:E12)</f>
        <v/>
      </c>
      <c r="G12" s="124" t="n"/>
      <c r="H12" s="124" t="n"/>
      <c r="I12" s="124" t="n"/>
      <c r="J12" s="100" t="n"/>
      <c r="K12" s="100" t="n"/>
      <c r="L12" s="100" t="n"/>
      <c r="M12" s="98">
        <f>(C12*Inputs!B20)+(D12*Inputs!B21)+(E12*Inputs!B22)</f>
        <v/>
      </c>
      <c r="N12" s="242" t="inlineStr">
        <is>
          <t>Mineral + Bio Estate</t>
        </is>
      </c>
      <c r="O12" s="87">
        <f>M12-P12</f>
        <v/>
      </c>
      <c r="P12" s="100">
        <f>M12 * VALUE(SUBSTITUTE(VLOOKUP(N12, TTFconfig!A2:E4, 3, FALSE),, ""))
</f>
        <v/>
      </c>
      <c r="Q12" s="87">
        <f>M12 * VALUE(SUBSTITUTE(VLOOKUP(N12, TTFconfig!A2:E4, 4, FALSE),, ""))
</f>
        <v/>
      </c>
      <c r="R12" s="87">
        <f>M12*Inputs!$B$27</f>
        <v/>
      </c>
      <c r="S12" s="159">
        <f>M12*Inputs!$B$26</f>
        <v/>
      </c>
      <c r="T12" s="159">
        <f>M12*(Inputs!$B$25*50)</f>
        <v/>
      </c>
      <c r="U12" s="159">
        <f>M12*Inputs!B25</f>
        <v/>
      </c>
      <c r="V12" s="159">
        <f>(M12*Inputs!$B$26) / VALUE(SUBSTITUTE(VLOOKUP(N12, TTFconfig!A2:E4, 5, FALSE),, ""))</f>
        <v/>
      </c>
      <c r="W12" s="87">
        <f>(P12-Q12-R12-S12-T12-Y12) / VALUE(SUBSTITUTE(VLOOKUP(N12, TTFconfig!A2:E4, 5, FALSE),, ""))
</f>
        <v/>
      </c>
      <c r="X12" s="107" t="n"/>
      <c r="Y12" s="87">
        <f>X12/Inputs!$B$10</f>
        <v/>
      </c>
      <c r="Z12" s="100" t="n"/>
      <c r="AA12" s="100" t="n"/>
      <c r="AB12" s="133">
        <f>P12*Inputs!B10</f>
        <v/>
      </c>
      <c r="AC12" s="133">
        <f>Q12*Inputs!B10</f>
        <v/>
      </c>
      <c r="AD12" s="133">
        <f>W12*Inputs!B10</f>
        <v/>
      </c>
      <c r="AE12" s="103" t="n">
        <v>0.5</v>
      </c>
      <c r="AF12" s="198">
        <f>1-AE12</f>
        <v/>
      </c>
      <c r="AG12" s="242" t="inlineStr">
        <is>
          <t>Conservative sales</t>
        </is>
      </c>
      <c r="AH12" s="105">
        <f>(Q12-'Resource Supply (5yr)'!G10) * AF12 * VALUE(SUBSTITUTE(VLOOKUP(AG12, Inputs!A32:B34, 2, FALSE),, ""))/12
</f>
        <v/>
      </c>
      <c r="AI12" s="105">
        <f>W12 * VALUE(SUBSTITUTE(VLOOKUP(AG12, Inputs!A32:B34, 2, FALSE),, ""))/12
</f>
        <v/>
      </c>
      <c r="AJ12" s="159">
        <f>U12+#REF!</f>
        <v/>
      </c>
      <c r="AM12" s="106" t="n"/>
      <c r="AO12">
        <f>IFERROR(MATCH(B12,XAUconfig!$B$4:$BI$4,0)-1,"")</f>
        <v/>
      </c>
    </row>
    <row r="13">
      <c r="A13" s="38" t="inlineStr">
        <is>
          <t>Mine 12</t>
        </is>
      </c>
      <c r="B13" s="117" t="inlineStr">
        <is>
          <t>Oct '28</t>
        </is>
      </c>
      <c r="C13" s="124" t="n">
        <v>50000</v>
      </c>
      <c r="D13" s="124" t="n">
        <v>490000</v>
      </c>
      <c r="E13" s="124" t="n">
        <v>170000</v>
      </c>
      <c r="F13" s="100">
        <f>sum(C13:E13)</f>
        <v/>
      </c>
      <c r="G13" s="124" t="n"/>
      <c r="H13" s="124" t="n"/>
      <c r="I13" s="124" t="n"/>
      <c r="J13" s="100" t="n"/>
      <c r="K13" s="100" t="n"/>
      <c r="L13" s="100" t="n"/>
      <c r="M13" s="98">
        <f>(C13*Inputs!B20)+(D13*Inputs!B21)+(E13*Inputs!B22)</f>
        <v/>
      </c>
      <c r="N13" s="242" t="inlineStr">
        <is>
          <t>Mineral + Bio + Social Estate</t>
        </is>
      </c>
      <c r="O13" s="87">
        <f>M13-P13</f>
        <v/>
      </c>
      <c r="P13" s="100">
        <f>M13 * VALUE(SUBSTITUTE(VLOOKUP(N13, TTFconfig!A2:E4, 3, FALSE),, ""))
</f>
        <v/>
      </c>
      <c r="Q13" s="87">
        <f>M13 * VALUE(SUBSTITUTE(VLOOKUP(N13, TTFconfig!A2:E4, 4, FALSE),, ""))
</f>
        <v/>
      </c>
      <c r="R13" s="87">
        <f>M13*Inputs!$B$27</f>
        <v/>
      </c>
      <c r="S13" s="159">
        <f>M13*Inputs!$B$26</f>
        <v/>
      </c>
      <c r="T13" s="159">
        <f>M13*(Inputs!$B$25*50)</f>
        <v/>
      </c>
      <c r="U13" s="159">
        <f>M13*Inputs!B25</f>
        <v/>
      </c>
      <c r="V13" s="159">
        <f>(M13*Inputs!$B$26) / VALUE(SUBSTITUTE(VLOOKUP(N13, TTFconfig!A2:E4, 5, FALSE),, ""))</f>
        <v/>
      </c>
      <c r="W13" s="87">
        <f>(P13-Q13-R13-S13-T13-Y13) / VALUE(SUBSTITUTE(VLOOKUP(N13, TTFconfig!A2:E4, 5, FALSE),, ""))
</f>
        <v/>
      </c>
      <c r="X13" s="107" t="n"/>
      <c r="Y13" s="87">
        <f>X13/Inputs!$B$10</f>
        <v/>
      </c>
      <c r="Z13" s="100" t="n"/>
      <c r="AA13" s="100" t="n"/>
      <c r="AB13" s="133">
        <f>P13*Inputs!B10</f>
        <v/>
      </c>
      <c r="AC13" s="133">
        <f>Q13*Inputs!B10</f>
        <v/>
      </c>
      <c r="AD13" s="133">
        <f>W13*Inputs!B10</f>
        <v/>
      </c>
      <c r="AE13" s="103" t="n">
        <v>0.5</v>
      </c>
      <c r="AF13" s="198">
        <f>1-AE13</f>
        <v/>
      </c>
      <c r="AG13" s="242" t="inlineStr">
        <is>
          <t>Conservative sales</t>
        </is>
      </c>
      <c r="AH13" s="105">
        <f>(Q13-'Resource Supply (5yr)'!G10) * AF13 * VALUE(SUBSTITUTE(VLOOKUP(AG13, Inputs!A32:B34, 2, FALSE),, ""))/12
</f>
        <v/>
      </c>
      <c r="AI13" s="105">
        <f>W13 * VALUE(SUBSTITUTE(VLOOKUP(AG13, Inputs!A32:B34, 2, FALSE),, ""))/12
</f>
        <v/>
      </c>
      <c r="AJ13" s="159">
        <f>U13+#REF!</f>
        <v/>
      </c>
      <c r="AM13" s="106" t="n"/>
      <c r="AO13">
        <f>IFERROR(MATCH(B13,XAUconfig!$B$4:$BI$4,0)-1,"")</f>
        <v/>
      </c>
    </row>
    <row r="14">
      <c r="A14" s="108" t="inlineStr">
        <is>
          <t>Totals</t>
        </is>
      </c>
      <c r="B14" s="112" t="n"/>
      <c r="C14" s="111">
        <f>sum(C2:C13)</f>
        <v/>
      </c>
      <c r="D14" s="111">
        <f>sum(D2:D13)</f>
        <v/>
      </c>
      <c r="E14" s="111">
        <f>sum(E2:E13)</f>
        <v/>
      </c>
      <c r="F14" s="111">
        <f>sum(C14:E14)</f>
        <v/>
      </c>
      <c r="G14" s="111" t="n"/>
      <c r="H14" s="111" t="n"/>
      <c r="I14" s="111" t="n"/>
      <c r="J14" s="111" t="n"/>
      <c r="K14" s="111" t="n"/>
      <c r="L14" s="111" t="n"/>
      <c r="M14" s="111">
        <f>SUM(M2:M13)</f>
        <v/>
      </c>
      <c r="N14" s="112" t="n"/>
      <c r="O14" s="111" t="n"/>
      <c r="P14" s="111">
        <f>SUM(P2:P13)</f>
        <v/>
      </c>
      <c r="Q14" s="112" t="n"/>
      <c r="R14" s="112" t="n"/>
      <c r="S14" s="112" t="n"/>
      <c r="T14" s="159" t="n"/>
      <c r="U14" s="113">
        <f>SUM(U2:U13)</f>
        <v/>
      </c>
      <c r="V14" s="112" t="n"/>
      <c r="W14" s="111">
        <f>SUM(W2:W13)</f>
        <v/>
      </c>
      <c r="X14" s="112" t="n"/>
      <c r="Y14" s="87" t="n"/>
      <c r="Z14" s="112" t="n"/>
      <c r="AA14" s="112" t="n"/>
      <c r="AB14" s="261">
        <f>SUM(AB2:AB13)</f>
        <v/>
      </c>
      <c r="AC14" s="112" t="n"/>
      <c r="AD14" s="261">
        <f>SUM(AD2:AD13)</f>
        <v/>
      </c>
      <c r="AE14" s="112" t="n"/>
      <c r="AF14" s="112" t="n"/>
      <c r="AG14" s="112" t="n"/>
      <c r="AH14" s="137" t="n"/>
      <c r="AI14" s="137" t="n"/>
      <c r="AJ14" s="112">
        <f>SUM(AJ2:AJ13)</f>
        <v/>
      </c>
      <c r="AK14" s="137" t="n"/>
      <c r="AL14" s="137" t="n"/>
      <c r="AM14" s="72" t="n"/>
    </row>
    <row r="20">
      <c r="Z20" s="116" t="n"/>
    </row>
    <row r="22">
      <c r="G22" s="117" t="n">
        <v>20460</v>
      </c>
      <c r="H22" s="117" t="n">
        <v>115880</v>
      </c>
    </row>
    <row r="23">
      <c r="G23" s="117" t="n">
        <v>25850</v>
      </c>
      <c r="H23" s="117" t="n">
        <v>113720</v>
      </c>
    </row>
    <row r="24">
      <c r="G24" s="117">
        <f>sum(G22:G23)</f>
        <v/>
      </c>
      <c r="H24" s="117">
        <f>sum(H22:H23)</f>
        <v/>
      </c>
      <c r="AC24" s="118" t="n"/>
    </row>
    <row r="25">
      <c r="G25" s="100" t="n"/>
      <c r="W25" s="159" t="n"/>
    </row>
    <row r="30">
      <c r="G30" s="117">
        <f>sum(G27+I27)</f>
        <v/>
      </c>
    </row>
    <row r="32">
      <c r="L32" s="117" t="n">
        <v>228830</v>
      </c>
      <c r="M32" s="117" t="n">
        <v>145400</v>
      </c>
    </row>
    <row r="34">
      <c r="L34" s="117">
        <f>sum(L32,M32)</f>
        <v/>
      </c>
    </row>
    <row r="36">
      <c r="O36" s="117" t="n"/>
    </row>
    <row r="37">
      <c r="G37" s="117">
        <f>56*3300</f>
        <v/>
      </c>
    </row>
  </sheetData>
  <dataValidations count="2">
    <dataValidation sqref="AG2:AG13" showDropDown="0" showInputMessage="0" showErrorMessage="1" allowBlank="1" type="list">
      <formula1>Inputs!$A$32:$A$34</formula1>
    </dataValidation>
    <dataValidation sqref="N2:N13" showDropDown="0" showInputMessage="0" showErrorMessage="1" allowBlank="1" type="list">
      <formula1>TTFconfig!$A$2:$A$4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BI8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7.25" customWidth="1" style="323" min="1" max="1"/>
    <col width="7.25" customWidth="1" style="323" min="2" max="3"/>
    <col width="7" customWidth="1" style="323" min="4" max="4"/>
    <col width="7.25" customWidth="1" style="323" min="5" max="5"/>
    <col width="7.38" customWidth="1" style="323" min="6" max="6"/>
    <col width="8.25" customWidth="1" style="323" min="7" max="7"/>
    <col width="7.88" customWidth="1" style="323" min="8" max="8"/>
    <col width="8.25" customWidth="1" style="323" min="9" max="9"/>
    <col width="13.13" customWidth="1" style="323" min="10" max="10"/>
    <col width="12.63" customWidth="1" style="323" min="11" max="11"/>
    <col width="13.25" customWidth="1" style="323" min="12" max="12"/>
    <col width="13.88" customWidth="1" style="323" min="13" max="13"/>
    <col width="12.88" customWidth="1" style="323" min="14" max="14"/>
    <col width="13.13" customWidth="1" style="323" min="15" max="15"/>
    <col width="12.75" customWidth="1" style="323" min="16" max="16"/>
    <col width="13.38" customWidth="1" style="323" min="17" max="18"/>
    <col width="12.75" customWidth="1" style="323" min="19" max="19"/>
    <col width="12.88" customWidth="1" style="323" min="20" max="20"/>
    <col width="13.38" customWidth="1" style="323" min="21" max="21"/>
    <col width="12.88" customWidth="1" style="323" min="22" max="23"/>
    <col width="12.25" customWidth="1" style="323" min="24" max="24"/>
    <col width="13.75" customWidth="1" style="323" min="25" max="25"/>
    <col width="11.63" customWidth="1" style="323" min="30" max="30"/>
  </cols>
  <sheetData>
    <row r="1">
      <c r="A1" s="3" t="inlineStr">
        <is>
          <t>Resource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120" t="inlineStr">
        <is>
          <t>Gold Resource Supply</t>
        </is>
      </c>
      <c r="B2" s="94" t="n"/>
      <c r="C2" s="78" t="n"/>
      <c r="D2" s="94" t="n"/>
      <c r="E2" s="94" t="n"/>
      <c r="F2" s="94" t="n"/>
      <c r="G2" s="78" t="n"/>
      <c r="H2" s="94" t="n"/>
      <c r="I2" s="94" t="n"/>
      <c r="J2" s="94" t="n"/>
      <c r="K2" s="94" t="n"/>
      <c r="L2" s="94" t="n"/>
      <c r="M2" s="94" t="n"/>
      <c r="N2" s="94" t="n"/>
      <c r="O2" s="94" t="n"/>
      <c r="P2" s="94" t="n"/>
      <c r="Q2" s="94" t="n"/>
      <c r="R2" s="94" t="n"/>
      <c r="S2" s="94" t="n"/>
      <c r="T2" s="94" t="n"/>
      <c r="U2" s="94" t="n"/>
      <c r="V2" s="94" t="n"/>
      <c r="W2" s="94" t="n"/>
      <c r="X2" s="94" t="n"/>
      <c r="Y2" s="94" t="n"/>
      <c r="Z2" s="94" t="n"/>
      <c r="AA2" s="94" t="n"/>
      <c r="AB2" s="94" t="n"/>
      <c r="AC2" s="94" t="n"/>
      <c r="AD2" s="94" t="n"/>
      <c r="AE2" s="94" t="n"/>
      <c r="AF2" s="94" t="n"/>
      <c r="AG2" s="94" t="n"/>
      <c r="AH2" s="94" t="n"/>
      <c r="AI2" s="94" t="n"/>
      <c r="AJ2" s="94" t="n"/>
      <c r="AK2" s="94" t="n"/>
      <c r="AL2" s="94" t="n"/>
      <c r="AM2" s="94" t="n"/>
      <c r="AN2" s="94" t="n"/>
      <c r="AO2" s="94" t="n"/>
      <c r="AP2" s="94" t="n"/>
      <c r="AQ2" s="94" t="n"/>
      <c r="AR2" s="94" t="n"/>
      <c r="AS2" s="94" t="n"/>
      <c r="AT2" s="94" t="n"/>
      <c r="AU2" s="94" t="n"/>
      <c r="AV2" s="94" t="n"/>
      <c r="AW2" s="94" t="n"/>
      <c r="AX2" s="94" t="n"/>
      <c r="AY2" s="94" t="n"/>
      <c r="AZ2" s="94" t="n"/>
      <c r="BA2" s="94" t="n"/>
      <c r="BB2" s="94" t="n"/>
      <c r="BC2" s="94" t="n"/>
      <c r="BD2" s="94" t="n"/>
      <c r="BE2" s="94" t="n"/>
      <c r="BF2" s="94" t="n"/>
      <c r="BG2" s="94" t="n"/>
      <c r="BH2" s="94" t="n"/>
      <c r="BI2" s="121" t="n"/>
    </row>
    <row r="3">
      <c r="A3" s="38" t="inlineStr">
        <is>
          <t># of mines brought online</t>
        </is>
      </c>
      <c r="B3" s="299">
        <f>COUNTIF('Mine Inventory'!$AO$2:$AO$13,0)</f>
        <v/>
      </c>
      <c r="C3" s="123">
        <f>COUNTIF('Mine Inventory'!$AO$2:$AO$13,1)</f>
        <v/>
      </c>
      <c r="D3" s="299">
        <f>COUNTIF('Mine Inventory'!$AO$2:$AO$13,2)</f>
        <v/>
      </c>
      <c r="E3" s="242">
        <f>COUNTIF('Mine Inventory'!$AO$2:$AO$13,3)</f>
        <v/>
      </c>
      <c r="F3" s="242">
        <f>COUNTIF('Mine Inventory'!$AO$2:$AO$13,4)</f>
        <v/>
      </c>
      <c r="G3" s="124">
        <f>COUNTIF('Mine Inventory'!$AO$2:$AO$13,5)</f>
        <v/>
      </c>
      <c r="H3" s="242">
        <f>COUNTIF('Mine Inventory'!$AO$2:$AO$13,6)</f>
        <v/>
      </c>
      <c r="I3" s="242">
        <f>COUNTIF('Mine Inventory'!$AO$2:$AO$13,7)</f>
        <v/>
      </c>
      <c r="J3" s="242">
        <f>COUNTIF('Mine Inventory'!$AO$2:$AO$13,8)</f>
        <v/>
      </c>
      <c r="K3" s="242">
        <f>COUNTIF('Mine Inventory'!$AO$2:$AO$13,9)</f>
        <v/>
      </c>
      <c r="L3" s="242">
        <f>COUNTIF('Mine Inventory'!$AO$2:$AO$13,10)</f>
        <v/>
      </c>
      <c r="M3" s="242">
        <f>COUNTIF('Mine Inventory'!$AO$2:$AO$13,11)</f>
        <v/>
      </c>
      <c r="N3" s="242">
        <f>COUNTIF('Mine Inventory'!$AO$2:$AO$13,12)</f>
        <v/>
      </c>
      <c r="O3" s="242">
        <f>COUNTIF('Mine Inventory'!$AO$2:$AO$13,13)</f>
        <v/>
      </c>
      <c r="P3" s="242">
        <f>COUNTIF('Mine Inventory'!$AO$2:$AO$13,14)</f>
        <v/>
      </c>
      <c r="Q3" s="242">
        <f>COUNTIF('Mine Inventory'!$AO$2:$AO$13,15)</f>
        <v/>
      </c>
      <c r="R3" s="242">
        <f>COUNTIF('Mine Inventory'!$AO$2:$AO$13,16)</f>
        <v/>
      </c>
      <c r="S3" s="242">
        <f>COUNTIF('Mine Inventory'!$AO$2:$AO$13,17)</f>
        <v/>
      </c>
      <c r="T3" s="242">
        <f>COUNTIF('Mine Inventory'!$AO$2:$AO$13,18)</f>
        <v/>
      </c>
      <c r="U3" s="242">
        <f>COUNTIF('Mine Inventory'!$AO$2:$AO$13,19)</f>
        <v/>
      </c>
      <c r="V3" s="242">
        <f>COUNTIF('Mine Inventory'!$AO$2:$AO$13,20)</f>
        <v/>
      </c>
      <c r="W3" s="242">
        <f>COUNTIF('Mine Inventory'!$AO$2:$AO$13,21)</f>
        <v/>
      </c>
      <c r="X3" s="242">
        <f>COUNTIF('Mine Inventory'!$AO$2:$AO$13,22)</f>
        <v/>
      </c>
      <c r="Y3" s="242">
        <f>COUNTIF('Mine Inventory'!$AO$2:$AO$13,23)</f>
        <v/>
      </c>
      <c r="Z3" s="242">
        <f>COUNTIF('Mine Inventory'!$AO$2:$AO$13,24)</f>
        <v/>
      </c>
      <c r="AA3" s="242">
        <f>COUNTIF('Mine Inventory'!$AO$2:$AO$13,25)</f>
        <v/>
      </c>
      <c r="AB3" s="242">
        <f>COUNTIF('Mine Inventory'!$AO$2:$AO$13,26)</f>
        <v/>
      </c>
      <c r="AC3" s="242">
        <f>COUNTIF('Mine Inventory'!$AO$2:$AO$13,27)</f>
        <v/>
      </c>
      <c r="AD3" s="242">
        <f>COUNTIF('Mine Inventory'!$AO$2:$AO$13,28)</f>
        <v/>
      </c>
      <c r="AE3" s="242">
        <f>COUNTIF('Mine Inventory'!$AO$2:$AO$13,29)</f>
        <v/>
      </c>
      <c r="AF3" s="242">
        <f>COUNTIF('Mine Inventory'!$AO$2:$AO$13,30)</f>
        <v/>
      </c>
      <c r="AG3" s="242">
        <f>COUNTIF('Mine Inventory'!$AO$2:$AO$13,31)</f>
        <v/>
      </c>
      <c r="AH3" s="242">
        <f>COUNTIF('Mine Inventory'!$AO$2:$AO$13,32)</f>
        <v/>
      </c>
      <c r="AI3" s="242">
        <f>COUNTIF('Mine Inventory'!$AO$2:$AO$13,33)</f>
        <v/>
      </c>
      <c r="AJ3" s="242">
        <f>COUNTIF('Mine Inventory'!$AO$2:$AO$13,34)</f>
        <v/>
      </c>
      <c r="AK3" s="242">
        <f>COUNTIF('Mine Inventory'!$AO$2:$AO$13,35)</f>
        <v/>
      </c>
      <c r="AL3" s="242">
        <f>COUNTIF('Mine Inventory'!$AO$2:$AO$13,36)</f>
        <v/>
      </c>
      <c r="AM3" s="242">
        <f>COUNTIF('Mine Inventory'!$AO$2:$AO$13,37)</f>
        <v/>
      </c>
      <c r="AN3" s="242">
        <f>COUNTIF('Mine Inventory'!$AO$2:$AO$13,38)</f>
        <v/>
      </c>
      <c r="AO3" s="242">
        <f>COUNTIF('Mine Inventory'!$AO$2:$AO$13,39)</f>
        <v/>
      </c>
      <c r="AP3" s="242">
        <f>COUNTIF('Mine Inventory'!$AO$2:$AO$13,40)</f>
        <v/>
      </c>
      <c r="AQ3" s="242">
        <f>COUNTIF('Mine Inventory'!$AO$2:$AO$13,41)</f>
        <v/>
      </c>
      <c r="AR3" s="242">
        <f>COUNTIF('Mine Inventory'!$AO$2:$AO$13,42)</f>
        <v/>
      </c>
      <c r="AS3" s="242">
        <f>COUNTIF('Mine Inventory'!$AO$2:$AO$13,43)</f>
        <v/>
      </c>
      <c r="AT3" s="242">
        <f>COUNTIF('Mine Inventory'!$AO$2:$AO$13,44)</f>
        <v/>
      </c>
      <c r="AU3" s="242">
        <f>COUNTIF('Mine Inventory'!$AO$2:$AO$13,45)</f>
        <v/>
      </c>
      <c r="AV3" s="242">
        <f>COUNTIF('Mine Inventory'!$AO$2:$AO$13,46)</f>
        <v/>
      </c>
      <c r="AW3" s="242">
        <f>COUNTIF('Mine Inventory'!$AO$2:$AO$13,47)</f>
        <v/>
      </c>
      <c r="AX3" s="242">
        <f>COUNTIF('Mine Inventory'!$AO$2:$AO$13,48)</f>
        <v/>
      </c>
      <c r="AY3" s="242">
        <f>COUNTIF('Mine Inventory'!$AO$2:$AO$13,49)</f>
        <v/>
      </c>
      <c r="AZ3" s="242">
        <f>COUNTIF('Mine Inventory'!$AO$2:$AO$13,50)</f>
        <v/>
      </c>
      <c r="BA3" s="242">
        <f>COUNTIF('Mine Inventory'!$AO$2:$AO$13,51)</f>
        <v/>
      </c>
      <c r="BB3" s="242">
        <f>COUNTIF('Mine Inventory'!$AO$2:$AO$13,52)</f>
        <v/>
      </c>
      <c r="BC3" s="242">
        <f>COUNTIF('Mine Inventory'!$AO$2:$AO$13,53)</f>
        <v/>
      </c>
      <c r="BD3" s="242">
        <f>COUNTIF('Mine Inventory'!$AO$2:$AO$13,54)</f>
        <v/>
      </c>
      <c r="BE3" s="242">
        <f>COUNTIF('Mine Inventory'!$AO$2:$AO$13,55)</f>
        <v/>
      </c>
      <c r="BF3" s="242">
        <f>COUNTIF('Mine Inventory'!$AO$2:$AO$13,56)</f>
        <v/>
      </c>
      <c r="BG3" s="242">
        <f>COUNTIF('Mine Inventory'!$AO$2:$AO$13,57)</f>
        <v/>
      </c>
      <c r="BH3" s="242">
        <f>COUNTIF('Mine Inventory'!$AO$2:$AO$13,58)</f>
        <v/>
      </c>
      <c r="BI3" s="42">
        <f>COUNTIF('Mine Inventory'!$AO$2:$AO$13,59)</f>
        <v/>
      </c>
    </row>
    <row r="4">
      <c r="A4" s="38" t="inlineStr">
        <is>
          <t>Registered Resources (oz)</t>
        </is>
      </c>
      <c r="B4" s="299" t="n">
        <v>0</v>
      </c>
      <c r="C4" s="123" t="n">
        <v>0</v>
      </c>
      <c r="D4" s="299" t="n">
        <v>0</v>
      </c>
      <c r="E4" s="242" t="n">
        <v>0</v>
      </c>
      <c r="F4" s="242" t="n">
        <v>0</v>
      </c>
      <c r="G4" s="124" t="n">
        <v>0</v>
      </c>
      <c r="H4" s="242" t="n">
        <v>0</v>
      </c>
      <c r="I4" s="242" t="n">
        <v>0</v>
      </c>
      <c r="J4" s="124">
        <f>'Mine Inventory'!F2</f>
        <v/>
      </c>
      <c r="K4" s="242" t="n">
        <v>0</v>
      </c>
      <c r="L4" s="124">
        <f>'Mine Inventory'!F3</f>
        <v/>
      </c>
      <c r="M4" s="242" t="n">
        <v>0</v>
      </c>
      <c r="N4" s="124">
        <f>'Mine Inventory'!F4</f>
        <v/>
      </c>
      <c r="O4" s="242" t="n">
        <v>0</v>
      </c>
      <c r="P4" s="242" t="n">
        <v>0</v>
      </c>
      <c r="Q4" s="124">
        <f>'Mine Inventory'!F5</f>
        <v/>
      </c>
      <c r="R4" s="242" t="n">
        <v>0</v>
      </c>
      <c r="S4" s="242" t="n">
        <v>0</v>
      </c>
      <c r="T4" s="124">
        <f>'Mine Inventory'!F6</f>
        <v/>
      </c>
      <c r="U4" s="242" t="n"/>
      <c r="V4" s="242" t="n"/>
      <c r="W4" s="242" t="n"/>
      <c r="X4" s="242" t="n"/>
      <c r="Y4" s="124">
        <f>'Mine Inventory'!F7</f>
        <v/>
      </c>
      <c r="Z4" s="242" t="n">
        <v>0</v>
      </c>
      <c r="AA4" s="242" t="n">
        <v>0</v>
      </c>
      <c r="AB4" s="124">
        <f>'Mine Inventory'!F8</f>
        <v/>
      </c>
      <c r="AC4" s="242" t="n">
        <v>0</v>
      </c>
      <c r="AD4" s="242" t="n">
        <v>0</v>
      </c>
      <c r="AE4" s="124">
        <f>'Mine Inventory'!F9</f>
        <v/>
      </c>
      <c r="AF4" s="242" t="n">
        <v>0</v>
      </c>
      <c r="AG4" s="124">
        <f>'Mine Inventory'!F10</f>
        <v/>
      </c>
      <c r="AH4" s="242" t="n">
        <v>0</v>
      </c>
      <c r="AI4" s="242" t="n">
        <v>0</v>
      </c>
      <c r="AJ4" s="242" t="n">
        <v>0</v>
      </c>
      <c r="AK4" s="242" t="n">
        <v>0</v>
      </c>
      <c r="AL4" s="242" t="n">
        <v>0</v>
      </c>
      <c r="AM4" s="124">
        <f>'Mine Inventory'!F11</f>
        <v/>
      </c>
      <c r="AN4" s="242" t="n">
        <v>0</v>
      </c>
      <c r="AO4" s="242" t="n">
        <v>0</v>
      </c>
      <c r="AP4" s="124">
        <f>'Mine Inventory'!F12</f>
        <v/>
      </c>
      <c r="AQ4" s="242" t="n">
        <v>0</v>
      </c>
      <c r="AR4" s="242" t="n">
        <v>0</v>
      </c>
      <c r="AS4" s="242" t="n">
        <v>0</v>
      </c>
      <c r="AT4" s="242" t="n">
        <v>0</v>
      </c>
      <c r="AU4" s="124">
        <f>'Mine Inventory'!F13</f>
        <v/>
      </c>
      <c r="AV4" s="242" t="n">
        <v>0</v>
      </c>
      <c r="AW4" s="242" t="n">
        <v>0</v>
      </c>
      <c r="AX4" s="242" t="n">
        <v>0</v>
      </c>
      <c r="AY4" s="242" t="n">
        <v>0</v>
      </c>
      <c r="AZ4" s="242" t="n">
        <v>0</v>
      </c>
      <c r="BA4" s="242" t="n">
        <v>0</v>
      </c>
      <c r="BB4" s="242" t="n">
        <v>0</v>
      </c>
      <c r="BC4" s="242" t="n">
        <v>0</v>
      </c>
      <c r="BD4" s="242" t="n">
        <v>0</v>
      </c>
      <c r="BE4" s="242" t="n">
        <v>0</v>
      </c>
      <c r="BF4" s="242" t="n">
        <v>0</v>
      </c>
      <c r="BG4" s="242" t="n">
        <v>0</v>
      </c>
      <c r="BH4" s="242" t="n">
        <v>0</v>
      </c>
      <c r="BI4" s="42" t="n">
        <v>0</v>
      </c>
    </row>
    <row r="5">
      <c r="A5" s="38" t="inlineStr">
        <is>
          <t>Authorized Resources (oz)</t>
        </is>
      </c>
      <c r="B5" s="299">
        <f>SUMIF('Mine Inventory'!$AO$2:$AO$13,0,'Mine Inventory'!$M$2:$M$13)</f>
        <v/>
      </c>
      <c r="C5" s="123">
        <f>SUMIF('Mine Inventory'!$AO$2:$AO$13,1,'Mine Inventory'!$M$2:$M$13)</f>
        <v/>
      </c>
      <c r="D5" s="299">
        <f>SUMIF('Mine Inventory'!$AO$2:$AO$13,2,'Mine Inventory'!$M$2:$M$13)</f>
        <v/>
      </c>
      <c r="E5" s="242">
        <f>SUMIF('Mine Inventory'!$AO$2:$AO$13,3,'Mine Inventory'!$M$2:$M$13)</f>
        <v/>
      </c>
      <c r="F5" s="242">
        <f>SUMIF('Mine Inventory'!$AO$2:$AO$13,4,'Mine Inventory'!$M$2:$M$13)</f>
        <v/>
      </c>
      <c r="G5" s="124">
        <f>SUMIF('Mine Inventory'!$AO$2:$AO$13,5,'Mine Inventory'!$M$2:$M$13)</f>
        <v/>
      </c>
      <c r="H5" s="242">
        <f>SUMIF('Mine Inventory'!$AO$2:$AO$13,6,'Mine Inventory'!$M$2:$M$13)</f>
        <v/>
      </c>
      <c r="I5" s="242">
        <f>SUMIF('Mine Inventory'!$AO$2:$AO$13,7,'Mine Inventory'!$M$2:$M$13)</f>
        <v/>
      </c>
      <c r="J5" s="125">
        <f>SUMIF('Mine Inventory'!$AO$2:$AO$13,8,'Mine Inventory'!$M$2:$M$13)</f>
        <v/>
      </c>
      <c r="K5" s="242">
        <f>SUMIF('Mine Inventory'!$AO$2:$AO$13,9,'Mine Inventory'!$M$2:$M$13)</f>
        <v/>
      </c>
      <c r="L5" s="124">
        <f>SUMIF('Mine Inventory'!$AO$2:$AO$13,10,'Mine Inventory'!$M$2:$M$13)</f>
        <v/>
      </c>
      <c r="M5" s="242">
        <f>SUMIF('Mine Inventory'!$AO$2:$AO$13,11,'Mine Inventory'!$M$2:$M$13)</f>
        <v/>
      </c>
      <c r="N5" s="124">
        <f>SUMIF('Mine Inventory'!$AO$2:$AO$13,12,'Mine Inventory'!$M$2:$M$13)</f>
        <v/>
      </c>
      <c r="O5" s="242">
        <f>SUMIF('Mine Inventory'!$AO$2:$AO$13,13,'Mine Inventory'!$M$2:$M$13)</f>
        <v/>
      </c>
      <c r="P5" s="242">
        <f>SUMIF('Mine Inventory'!$AO$2:$AO$13,14,'Mine Inventory'!$M$2:$M$13)</f>
        <v/>
      </c>
      <c r="Q5" s="124">
        <f>SUMIF('Mine Inventory'!$AO$2:$AO$13,15,'Mine Inventory'!$M$2:$M$13)</f>
        <v/>
      </c>
      <c r="R5" s="242">
        <f>SUMIF('Mine Inventory'!$AO$2:$AO$13,16,'Mine Inventory'!$M$2:$M$13)</f>
        <v/>
      </c>
      <c r="S5" s="242">
        <f>SUMIF('Mine Inventory'!$AO$2:$AO$13,17,'Mine Inventory'!$M$2:$M$13)</f>
        <v/>
      </c>
      <c r="T5" s="124">
        <f>SUMIF('Mine Inventory'!$AO$2:$AO$13,18,'Mine Inventory'!$M$2:$M$13)</f>
        <v/>
      </c>
      <c r="U5" s="242">
        <f>SUMIF('Mine Inventory'!$AO$2:$AO$13,19,'Mine Inventory'!$M$2:$M$13)</f>
        <v/>
      </c>
      <c r="V5" s="242">
        <f>SUMIF('Mine Inventory'!$AO$2:$AO$13,20,'Mine Inventory'!$M$2:$M$13)</f>
        <v/>
      </c>
      <c r="W5" s="242">
        <f>SUMIF('Mine Inventory'!$AO$2:$AO$13,21,'Mine Inventory'!$M$2:$M$13)</f>
        <v/>
      </c>
      <c r="X5" s="242">
        <f>SUMIF('Mine Inventory'!$AO$2:$AO$13,22,'Mine Inventory'!$M$2:$M$13)</f>
        <v/>
      </c>
      <c r="Y5" s="124">
        <f>SUMIF('Mine Inventory'!$AO$2:$AO$13,23,'Mine Inventory'!$M$2:$M$13)</f>
        <v/>
      </c>
      <c r="Z5" s="242">
        <f>SUMIF('Mine Inventory'!$AO$2:$AO$13,24,'Mine Inventory'!$M$2:$M$13)</f>
        <v/>
      </c>
      <c r="AA5" s="242">
        <f>SUMIF('Mine Inventory'!$AO$2:$AO$13,25,'Mine Inventory'!$M$2:$M$13)</f>
        <v/>
      </c>
      <c r="AB5" s="124">
        <f>SUMIF('Mine Inventory'!$AO$2:$AO$13,26,'Mine Inventory'!$M$2:$M$13)</f>
        <v/>
      </c>
      <c r="AC5" s="242">
        <f>SUMIF('Mine Inventory'!$AO$2:$AO$13,27,'Mine Inventory'!$M$2:$M$13)</f>
        <v/>
      </c>
      <c r="AD5" s="242">
        <f>SUMIF('Mine Inventory'!$AO$2:$AO$13,28,'Mine Inventory'!$M$2:$M$13)</f>
        <v/>
      </c>
      <c r="AE5" s="124">
        <f>SUMIF('Mine Inventory'!$AO$2:$AO$13,29,'Mine Inventory'!$M$2:$M$13)</f>
        <v/>
      </c>
      <c r="AF5" s="242">
        <f>SUMIF('Mine Inventory'!$AO$2:$AO$13,30,'Mine Inventory'!$M$2:$M$13)</f>
        <v/>
      </c>
      <c r="AG5" s="124">
        <f>SUMIF('Mine Inventory'!$AO$2:$AO$13,31,'Mine Inventory'!$M$2:$M$13)</f>
        <v/>
      </c>
      <c r="AH5" s="242">
        <f>SUMIF('Mine Inventory'!$AO$2:$AO$13,32,'Mine Inventory'!$M$2:$M$13)</f>
        <v/>
      </c>
      <c r="AI5" s="242">
        <f>SUMIF('Mine Inventory'!$AO$2:$AO$13,33,'Mine Inventory'!$M$2:$M$13)</f>
        <v/>
      </c>
      <c r="AJ5" s="242">
        <f>SUMIF('Mine Inventory'!$AO$2:$AO$13,34,'Mine Inventory'!$M$2:$M$13)</f>
        <v/>
      </c>
      <c r="AK5" s="242">
        <f>SUMIF('Mine Inventory'!$AO$2:$AO$13,35,'Mine Inventory'!$M$2:$M$13)</f>
        <v/>
      </c>
      <c r="AL5" s="242">
        <f>SUMIF('Mine Inventory'!$AO$2:$AO$13,36,'Mine Inventory'!$M$2:$M$13)</f>
        <v/>
      </c>
      <c r="AM5" s="124">
        <f>SUMIF('Mine Inventory'!$AO$2:$AO$13,37,'Mine Inventory'!$M$2:$M$13)</f>
        <v/>
      </c>
      <c r="AN5" s="242">
        <f>SUMIF('Mine Inventory'!$AO$2:$AO$13,38,'Mine Inventory'!$M$2:$M$13)</f>
        <v/>
      </c>
      <c r="AO5" s="242">
        <f>SUMIF('Mine Inventory'!$AO$2:$AO$13,39,'Mine Inventory'!$M$2:$M$13)</f>
        <v/>
      </c>
      <c r="AP5" s="124">
        <f>SUMIF('Mine Inventory'!$AO$2:$AO$13,40,'Mine Inventory'!$M$2:$M$13)</f>
        <v/>
      </c>
      <c r="AQ5" s="242">
        <f>SUMIF('Mine Inventory'!$AO$2:$AO$13,41,'Mine Inventory'!$M$2:$M$13)</f>
        <v/>
      </c>
      <c r="AR5" s="242">
        <f>SUMIF('Mine Inventory'!$AO$2:$AO$13,42,'Mine Inventory'!$M$2:$M$13)</f>
        <v/>
      </c>
      <c r="AS5" s="242">
        <f>SUMIF('Mine Inventory'!$AO$2:$AO$13,43,'Mine Inventory'!$M$2:$M$13)</f>
        <v/>
      </c>
      <c r="AT5" s="242">
        <f>SUMIF('Mine Inventory'!$AO$2:$AO$13,44,'Mine Inventory'!$M$2:$M$13)</f>
        <v/>
      </c>
      <c r="AU5" s="124">
        <f>SUMIF('Mine Inventory'!$AO$2:$AO$13,45,'Mine Inventory'!$M$2:$M$13)</f>
        <v/>
      </c>
      <c r="AV5" s="242">
        <f>SUMIF('Mine Inventory'!$AO$2:$AO$13,46,'Mine Inventory'!$M$2:$M$13)</f>
        <v/>
      </c>
      <c r="AW5" s="242">
        <f>SUMIF('Mine Inventory'!$AO$2:$AO$13,47,'Mine Inventory'!$M$2:$M$13)</f>
        <v/>
      </c>
      <c r="AX5" s="242">
        <f>SUMIF('Mine Inventory'!$AO$2:$AO$13,48,'Mine Inventory'!$M$2:$M$13)</f>
        <v/>
      </c>
      <c r="AY5" s="242">
        <f>SUMIF('Mine Inventory'!$AO$2:$AO$13,49,'Mine Inventory'!$M$2:$M$13)</f>
        <v/>
      </c>
      <c r="AZ5" s="242">
        <f>SUMIF('Mine Inventory'!$AO$2:$AO$13,50,'Mine Inventory'!$M$2:$M$13)</f>
        <v/>
      </c>
      <c r="BA5" s="242">
        <f>SUMIF('Mine Inventory'!$AO$2:$AO$13,51,'Mine Inventory'!$M$2:$M$13)</f>
        <v/>
      </c>
      <c r="BB5" s="242">
        <f>SUMIF('Mine Inventory'!$AO$2:$AO$13,52,'Mine Inventory'!$M$2:$M$13)</f>
        <v/>
      </c>
      <c r="BC5" s="242">
        <f>SUMIF('Mine Inventory'!$AO$2:$AO$13,53,'Mine Inventory'!$M$2:$M$13)</f>
        <v/>
      </c>
      <c r="BD5" s="242">
        <f>SUMIF('Mine Inventory'!$AO$2:$AO$13,54,'Mine Inventory'!$M$2:$M$13)</f>
        <v/>
      </c>
      <c r="BE5" s="242">
        <f>SUMIF('Mine Inventory'!$AO$2:$AO$13,55,'Mine Inventory'!$M$2:$M$13)</f>
        <v/>
      </c>
      <c r="BF5" s="242">
        <f>SUMIF('Mine Inventory'!$AO$2:$AO$13,56,'Mine Inventory'!$M$2:$M$13)</f>
        <v/>
      </c>
      <c r="BG5" s="242">
        <f>SUMIF('Mine Inventory'!$AO$2:$AO$13,57,'Mine Inventory'!$M$2:$M$13)</f>
        <v/>
      </c>
      <c r="BH5" s="242">
        <f>SUMIF('Mine Inventory'!$AO$2:$AO$13,58,'Mine Inventory'!$M$2:$M$13)</f>
        <v/>
      </c>
      <c r="BI5" s="42">
        <f>SUMIF('Mine Inventory'!$AO$2:$AO$13,59,'Mine Inventory'!$M$2:$M$13)</f>
        <v/>
      </c>
    </row>
    <row r="6">
      <c r="A6" s="38" t="inlineStr">
        <is>
          <t>Releasable Resources (oz)</t>
        </is>
      </c>
      <c r="B6" s="299" t="n">
        <v>0</v>
      </c>
      <c r="C6" s="123" t="n">
        <v>0</v>
      </c>
      <c r="D6" s="299" t="n">
        <v>0</v>
      </c>
      <c r="E6" s="117" t="n">
        <v>0</v>
      </c>
      <c r="F6" s="117" t="n">
        <v>0</v>
      </c>
      <c r="G6" s="100" t="n">
        <v>0</v>
      </c>
      <c r="H6" s="100" t="n">
        <v>0</v>
      </c>
      <c r="I6" s="100" t="n">
        <v>0</v>
      </c>
      <c r="J6" s="100">
        <f>'Mine Inventory'!P2</f>
        <v/>
      </c>
      <c r="K6" s="100" t="n">
        <v>0</v>
      </c>
      <c r="L6" s="100">
        <f>'Mine Inventory'!$P$3</f>
        <v/>
      </c>
      <c r="M6" s="100" t="n">
        <v>0</v>
      </c>
      <c r="N6" s="100">
        <f>'Mine Inventory'!P4</f>
        <v/>
      </c>
      <c r="O6" s="100" t="n">
        <v>0</v>
      </c>
      <c r="P6" s="100" t="n">
        <v>0</v>
      </c>
      <c r="Q6" s="100">
        <f>'Mine Inventory'!P5</f>
        <v/>
      </c>
      <c r="R6" s="100" t="n">
        <v>0</v>
      </c>
      <c r="S6" s="100" t="n">
        <v>0</v>
      </c>
      <c r="T6" s="100">
        <f>'Mine Inventory'!P6</f>
        <v/>
      </c>
      <c r="U6" s="100" t="n">
        <v>0</v>
      </c>
      <c r="V6" s="100" t="n">
        <v>0</v>
      </c>
      <c r="W6" s="100" t="n">
        <v>0</v>
      </c>
      <c r="X6" s="100" t="n">
        <v>0</v>
      </c>
      <c r="Y6" s="100">
        <f>'Mine Inventory'!P7</f>
        <v/>
      </c>
      <c r="Z6" s="100" t="n">
        <v>0</v>
      </c>
      <c r="AA6" s="100" t="n">
        <v>0</v>
      </c>
      <c r="AB6" s="100">
        <f>'Mine Inventory'!P8</f>
        <v/>
      </c>
      <c r="AC6" s="100" t="n">
        <v>0</v>
      </c>
      <c r="AD6" s="100" t="n">
        <v>0</v>
      </c>
      <c r="AE6" s="100">
        <f>'Mine Inventory'!P9</f>
        <v/>
      </c>
      <c r="AF6" s="100" t="n">
        <v>0</v>
      </c>
      <c r="AG6" s="100">
        <f>'Mine Inventory'!P10</f>
        <v/>
      </c>
      <c r="AH6" s="100" t="n">
        <v>0</v>
      </c>
      <c r="AI6" s="100" t="n">
        <v>0</v>
      </c>
      <c r="AJ6" s="100" t="n">
        <v>0</v>
      </c>
      <c r="AK6" s="100" t="n">
        <v>0</v>
      </c>
      <c r="AL6" s="100" t="n">
        <v>0</v>
      </c>
      <c r="AM6" s="100">
        <f>'Mine Inventory'!P11</f>
        <v/>
      </c>
      <c r="AN6" s="100" t="n">
        <v>0</v>
      </c>
      <c r="AO6" s="100" t="n">
        <v>0</v>
      </c>
      <c r="AP6" s="100">
        <f>'Mine Inventory'!P12</f>
        <v/>
      </c>
      <c r="AQ6" s="100" t="n">
        <v>0</v>
      </c>
      <c r="AR6" s="100" t="n">
        <v>0</v>
      </c>
      <c r="AS6" s="100" t="n">
        <v>0</v>
      </c>
      <c r="AT6" s="100" t="n">
        <v>0</v>
      </c>
      <c r="AU6" s="100">
        <f>'Mine Inventory'!P13</f>
        <v/>
      </c>
      <c r="AV6" s="100" t="n">
        <v>0</v>
      </c>
      <c r="AW6" s="100" t="n">
        <v>0</v>
      </c>
      <c r="AX6" s="100" t="n">
        <v>0</v>
      </c>
      <c r="AY6" s="100" t="n">
        <v>0</v>
      </c>
      <c r="AZ6" s="100" t="n">
        <v>0</v>
      </c>
      <c r="BA6" s="100" t="n">
        <v>0</v>
      </c>
      <c r="BB6" s="100" t="n">
        <v>0</v>
      </c>
      <c r="BC6" s="100" t="n">
        <v>0</v>
      </c>
      <c r="BD6" s="100" t="n">
        <v>0</v>
      </c>
      <c r="BE6" s="100" t="n">
        <v>0</v>
      </c>
      <c r="BF6" s="100" t="n">
        <v>0</v>
      </c>
      <c r="BG6" s="100" t="n">
        <v>0</v>
      </c>
      <c r="BH6" s="100" t="n">
        <v>0</v>
      </c>
      <c r="BI6" s="100" t="n">
        <v>0</v>
      </c>
    </row>
    <row r="7">
      <c r="A7" s="38" t="inlineStr">
        <is>
          <t>Unlocked Resources (oz)</t>
        </is>
      </c>
      <c r="B7" s="299" t="n">
        <v>0</v>
      </c>
      <c r="C7" s="123" t="n">
        <v>0</v>
      </c>
      <c r="D7" s="299" t="n">
        <v>0</v>
      </c>
      <c r="E7" s="117" t="n">
        <v>0</v>
      </c>
      <c r="F7" s="117" t="n">
        <v>0</v>
      </c>
      <c r="G7" s="100" t="n">
        <v>0</v>
      </c>
      <c r="H7" s="100">
        <f>(H5*'Release Terms'!C2)*'Release Terms'!E2</f>
        <v/>
      </c>
      <c r="I7" s="117" t="n">
        <v>0</v>
      </c>
      <c r="J7" s="87">
        <f>'Mine Inventory'!Q2</f>
        <v/>
      </c>
      <c r="K7" s="87" t="n">
        <v>0</v>
      </c>
      <c r="L7" s="87">
        <f>'Mine Inventory'!$Q$3</f>
        <v/>
      </c>
      <c r="M7" s="87" t="n">
        <v>0</v>
      </c>
      <c r="N7" s="87">
        <f>'Mine Inventory'!Q4</f>
        <v/>
      </c>
      <c r="O7" s="87" t="n">
        <v>0</v>
      </c>
      <c r="P7" s="87" t="n">
        <v>0</v>
      </c>
      <c r="Q7" s="87">
        <f>'Mine Inventory'!Q5</f>
        <v/>
      </c>
      <c r="R7" s="87" t="n">
        <v>0</v>
      </c>
      <c r="S7" s="87" t="n">
        <v>0</v>
      </c>
      <c r="T7" s="87">
        <f>'Mine Inventory'!Q6</f>
        <v/>
      </c>
      <c r="U7" s="87" t="n">
        <v>0</v>
      </c>
      <c r="V7" s="87">
        <f>'Mine Inventory'!W2</f>
        <v/>
      </c>
      <c r="W7" s="87" t="n">
        <v>0</v>
      </c>
      <c r="X7" s="87">
        <f>'Mine Inventory'!$W$3</f>
        <v/>
      </c>
      <c r="Y7" s="87">
        <f>'Mine Inventory'!Q7</f>
        <v/>
      </c>
      <c r="Z7" s="87">
        <f>'Mine Inventory'!$W$4</f>
        <v/>
      </c>
      <c r="AA7" s="87" t="n">
        <v>0</v>
      </c>
      <c r="AB7" s="87">
        <f>'Mine Inventory'!Q8</f>
        <v/>
      </c>
      <c r="AC7" s="87">
        <f>'Mine Inventory'!$W$5</f>
        <v/>
      </c>
      <c r="AD7" s="87" t="n">
        <v>0</v>
      </c>
      <c r="AE7" s="87">
        <f>'Mine Inventory'!Q9</f>
        <v/>
      </c>
      <c r="AF7" s="126">
        <f>'Mine Inventory'!$W$6</f>
        <v/>
      </c>
      <c r="AG7" s="87">
        <f>'Mine Inventory'!Q10</f>
        <v/>
      </c>
      <c r="AH7" s="87">
        <f>'Mine Inventory'!$W$2</f>
        <v/>
      </c>
      <c r="AI7" s="87" t="n">
        <v>0</v>
      </c>
      <c r="AJ7" s="87">
        <f>'Mine Inventory'!$W$3</f>
        <v/>
      </c>
      <c r="AK7" s="87">
        <f>'Mine Inventory'!$W$7</f>
        <v/>
      </c>
      <c r="AL7" s="87">
        <f>'Mine Inventory'!$W$4</f>
        <v/>
      </c>
      <c r="AM7" s="87">
        <f>'Mine Inventory'!Q11</f>
        <v/>
      </c>
      <c r="AN7" s="87">
        <f>'Mine Inventory'!$W$8</f>
        <v/>
      </c>
      <c r="AO7" s="87">
        <f>'Mine Inventory'!$W$5</f>
        <v/>
      </c>
      <c r="AP7" s="87">
        <f>'Mine Inventory'!Q12</f>
        <v/>
      </c>
      <c r="AQ7" s="87">
        <f>'Mine Inventory'!$W$9</f>
        <v/>
      </c>
      <c r="AR7" s="126">
        <f>'Mine Inventory'!$W$6</f>
        <v/>
      </c>
      <c r="AS7" s="87">
        <f>'Mine Inventory'!$W$10</f>
        <v/>
      </c>
      <c r="AT7" s="87">
        <f>'Mine Inventory'!$W$2</f>
        <v/>
      </c>
      <c r="AU7" s="87">
        <f>'Mine Inventory'!Q13</f>
        <v/>
      </c>
      <c r="AV7" s="87">
        <f>'Mine Inventory'!$W$3</f>
        <v/>
      </c>
      <c r="AW7" s="87">
        <f>'Mine Inventory'!$W$7</f>
        <v/>
      </c>
      <c r="AX7" s="87">
        <f>'Mine Inventory'!$W$4</f>
        <v/>
      </c>
      <c r="AY7" s="87">
        <f>'Mine Inventory'!$W$11</f>
        <v/>
      </c>
      <c r="AZ7" s="87">
        <f>'Mine Inventory'!$W$8</f>
        <v/>
      </c>
      <c r="BA7" s="87">
        <f>'Mine Inventory'!$W$5</f>
        <v/>
      </c>
      <c r="BB7" s="87">
        <f>'Mine Inventory'!$W$12</f>
        <v/>
      </c>
      <c r="BC7" s="87">
        <f>'Mine Inventory'!$W$9</f>
        <v/>
      </c>
      <c r="BD7" s="126">
        <f>'Mine Inventory'!$W$6</f>
        <v/>
      </c>
      <c r="BE7" s="87">
        <f>'Mine Inventory'!$W$10</f>
        <v/>
      </c>
      <c r="BF7" s="87">
        <f>'Mine Inventory'!$W$2</f>
        <v/>
      </c>
      <c r="BG7" s="87">
        <f>'Mine Inventory'!$W$13</f>
        <v/>
      </c>
      <c r="BH7" s="87">
        <f>'Mine Inventory'!$W$3</f>
        <v/>
      </c>
      <c r="BI7" s="87">
        <f>'Mine Inventory'!$W$7</f>
        <v/>
      </c>
    </row>
    <row r="8">
      <c r="A8" s="38" t="inlineStr">
        <is>
          <t>Unitization Fees (oz)</t>
        </is>
      </c>
      <c r="B8" s="299" t="n">
        <v>0</v>
      </c>
      <c r="C8" s="123" t="n">
        <v>0</v>
      </c>
      <c r="D8" s="299" t="n">
        <v>0</v>
      </c>
      <c r="E8" s="117" t="n">
        <v>0</v>
      </c>
      <c r="F8" s="117" t="n">
        <v>0</v>
      </c>
      <c r="G8" s="100">
        <f>(G5*Inputs!B25)</f>
        <v/>
      </c>
      <c r="H8" s="100">
        <f>(H5*Inputs!B25)/'Release Terms'!D2</f>
        <v/>
      </c>
      <c r="I8" s="117" t="n">
        <v>0</v>
      </c>
      <c r="J8" s="87">
        <f>(J5*0.5%)</f>
        <v/>
      </c>
      <c r="K8" s="87" t="n">
        <v>0</v>
      </c>
      <c r="L8" s="87">
        <f>(L5*Inputs!$B$25)</f>
        <v/>
      </c>
      <c r="M8" s="87" t="n">
        <v>0</v>
      </c>
      <c r="N8" s="87">
        <f>(N5*Inputs!$B$25)</f>
        <v/>
      </c>
      <c r="O8" s="87" t="n">
        <v>0</v>
      </c>
      <c r="P8" s="87" t="n">
        <v>0</v>
      </c>
      <c r="Q8" s="87">
        <f>'Mine Inventory'!U5</f>
        <v/>
      </c>
      <c r="R8" s="87" t="n">
        <v>0</v>
      </c>
      <c r="S8" s="87" t="n">
        <v>0</v>
      </c>
      <c r="T8" s="87">
        <f>'Mine Inventory'!U6</f>
        <v/>
      </c>
      <c r="U8" s="87" t="n">
        <v>0</v>
      </c>
      <c r="V8" s="87" t="n">
        <v>0</v>
      </c>
      <c r="W8" s="87" t="n">
        <v>0</v>
      </c>
      <c r="X8" s="87">
        <f>'Mine Inventory'!$U$2</f>
        <v/>
      </c>
      <c r="Y8" s="87">
        <f>'Mine Inventory'!U7</f>
        <v/>
      </c>
      <c r="Z8" s="87">
        <f>'Mine Inventory'!$U$4</f>
        <v/>
      </c>
      <c r="AA8" s="87" t="n">
        <v>0</v>
      </c>
      <c r="AB8" s="87">
        <f>'Mine Inventory'!U8</f>
        <v/>
      </c>
      <c r="AC8" s="87">
        <f>'Mine Inventory'!$U$5</f>
        <v/>
      </c>
      <c r="AD8" s="87" t="n">
        <v>0</v>
      </c>
      <c r="AE8" s="87">
        <f>'Mine Inventory'!$U$9</f>
        <v/>
      </c>
      <c r="AF8" s="87">
        <f>'Mine Inventory'!$U$6</f>
        <v/>
      </c>
      <c r="AG8" s="87">
        <f>'Mine Inventory'!U10</f>
        <v/>
      </c>
      <c r="AH8" s="87" t="n">
        <v>0</v>
      </c>
      <c r="AI8" s="87" t="n">
        <v>0</v>
      </c>
      <c r="AJ8" s="87">
        <f>'Mine Inventory'!$U$2</f>
        <v/>
      </c>
      <c r="AK8" s="87">
        <f>'Mine Inventory'!$U$7</f>
        <v/>
      </c>
      <c r="AL8" s="87">
        <f>'Mine Inventory'!$U$4</f>
        <v/>
      </c>
      <c r="AM8" s="87">
        <f>'Mine Inventory'!U11</f>
        <v/>
      </c>
      <c r="AN8" s="87">
        <f>'Mine Inventory'!$U$8</f>
        <v/>
      </c>
      <c r="AO8" s="87">
        <f>'Mine Inventory'!$U$5</f>
        <v/>
      </c>
      <c r="AP8" s="87">
        <f>'Mine Inventory'!U12</f>
        <v/>
      </c>
      <c r="AQ8" s="87">
        <f>'Mine Inventory'!$U$9</f>
        <v/>
      </c>
      <c r="AR8" s="87">
        <f>'Mine Inventory'!$U$6</f>
        <v/>
      </c>
      <c r="AS8" s="87">
        <f>'Mine Inventory'!$U$10</f>
        <v/>
      </c>
      <c r="AT8" s="87" t="n">
        <v>0</v>
      </c>
      <c r="AU8" s="87">
        <f>'Mine Inventory'!U13</f>
        <v/>
      </c>
      <c r="AV8" s="87">
        <f>'Mine Inventory'!$U$2</f>
        <v/>
      </c>
      <c r="AW8" s="87">
        <f>'Mine Inventory'!$U$7</f>
        <v/>
      </c>
      <c r="AX8" s="87">
        <f>'Mine Inventory'!$U$4</f>
        <v/>
      </c>
      <c r="AY8" s="87">
        <f>'Mine Inventory'!$U$11</f>
        <v/>
      </c>
      <c r="AZ8" s="87">
        <f>'Mine Inventory'!$U$8</f>
        <v/>
      </c>
      <c r="BA8" s="87">
        <f>'Mine Inventory'!$U$5</f>
        <v/>
      </c>
      <c r="BB8" s="87">
        <f>'Mine Inventory'!$U$12</f>
        <v/>
      </c>
      <c r="BC8" s="87">
        <f>'Mine Inventory'!$U$9</f>
        <v/>
      </c>
      <c r="BD8" s="87">
        <f>'Mine Inventory'!$U$6</f>
        <v/>
      </c>
      <c r="BE8" s="87">
        <f>'Mine Inventory'!$U$10</f>
        <v/>
      </c>
      <c r="BF8" s="87" t="n">
        <v>0</v>
      </c>
      <c r="BG8" s="87">
        <f>'Mine Inventory'!$U$13</f>
        <v/>
      </c>
      <c r="BH8" s="87">
        <f>'Mine Inventory'!$U$2</f>
        <v/>
      </c>
      <c r="BI8" s="87">
        <f>'Mine Inventory'!$U$7</f>
        <v/>
      </c>
    </row>
    <row r="9">
      <c r="A9" s="38" t="inlineStr">
        <is>
          <t>Available 1031 units (oz)</t>
        </is>
      </c>
      <c r="B9" s="299" t="n">
        <v>0</v>
      </c>
      <c r="C9" s="299" t="n">
        <v>0</v>
      </c>
      <c r="D9" s="299" t="n">
        <v>0</v>
      </c>
      <c r="E9" s="117" t="n">
        <v>0</v>
      </c>
      <c r="F9" s="117" t="n">
        <v>0</v>
      </c>
      <c r="G9" s="117" t="n">
        <v>0</v>
      </c>
      <c r="H9" s="117" t="n">
        <v>0</v>
      </c>
      <c r="I9" s="117" t="n">
        <v>0</v>
      </c>
      <c r="J9" s="87">
        <f>(J7)*'Mine Inventory'!AE2</f>
        <v/>
      </c>
      <c r="K9" s="87" t="n">
        <v>0</v>
      </c>
      <c r="L9" s="87">
        <f>L7*'Mine Inventory'!$AE$3</f>
        <v/>
      </c>
      <c r="M9" s="87" t="n">
        <v>0</v>
      </c>
      <c r="N9" s="87">
        <f>N7*'Mine Inventory'!AE4</f>
        <v/>
      </c>
      <c r="O9" s="87" t="n">
        <v>0</v>
      </c>
      <c r="P9" s="87" t="n">
        <v>0</v>
      </c>
      <c r="Q9" s="87">
        <f>Q7*'Mine Inventory'!AE5</f>
        <v/>
      </c>
      <c r="R9" s="87" t="n">
        <v>0</v>
      </c>
      <c r="S9" s="87" t="n">
        <v>0</v>
      </c>
      <c r="T9" s="87">
        <f>T7*'Mine Inventory'!AE6</f>
        <v/>
      </c>
      <c r="U9" s="87" t="n">
        <v>0</v>
      </c>
      <c r="V9" s="87">
        <f>V7*'Mine Inventory'!$AE$2</f>
        <v/>
      </c>
      <c r="W9" s="87" t="n">
        <v>0</v>
      </c>
      <c r="X9" s="87">
        <f>X7*'Mine Inventory'!$AE$3</f>
        <v/>
      </c>
      <c r="Y9" s="87">
        <f>Y7*'Mine Inventory'!AE7</f>
        <v/>
      </c>
      <c r="Z9" s="87">
        <f>Z7*'Mine Inventory'!$AE$4</f>
        <v/>
      </c>
      <c r="AA9" s="87" t="n"/>
      <c r="AB9" s="87">
        <f>AB7*'Mine Inventory'!AE8</f>
        <v/>
      </c>
      <c r="AC9" s="87">
        <f>AC7*'Mine Inventory'!$AE$5</f>
        <v/>
      </c>
      <c r="AD9" s="87" t="n"/>
      <c r="AE9" s="87">
        <f>AE7*'Mine Inventory'!AE9</f>
        <v/>
      </c>
      <c r="AF9" s="87">
        <f>AF7*'Mine Inventory'!$AE$6</f>
        <v/>
      </c>
      <c r="AG9" s="87">
        <f>AG7*'Mine Inventory'!AE10</f>
        <v/>
      </c>
      <c r="AH9" s="87">
        <f>AH7*'Mine Inventory'!$AE$2</f>
        <v/>
      </c>
      <c r="AI9" s="87" t="n"/>
      <c r="AJ9" s="87">
        <f>AJ7*'Mine Inventory'!$AE$3</f>
        <v/>
      </c>
      <c r="AK9" s="87">
        <f>AK7*'Mine Inventory'!$AE$7</f>
        <v/>
      </c>
      <c r="AL9" s="87">
        <f>AL7*'Mine Inventory'!$AE$4</f>
        <v/>
      </c>
      <c r="AM9" s="87">
        <f>AM7*'Mine Inventory'!AE11</f>
        <v/>
      </c>
      <c r="AN9" s="87">
        <f>AN7*'Mine Inventory'!$AE$8</f>
        <v/>
      </c>
      <c r="AO9" s="87">
        <f>AO7*'Mine Inventory'!$AE$5</f>
        <v/>
      </c>
      <c r="AP9" s="87">
        <f>AP7*'Mine Inventory'!AE12</f>
        <v/>
      </c>
      <c r="AQ9" s="87">
        <f>AQ7*'Mine Inventory'!$AE$9</f>
        <v/>
      </c>
      <c r="AR9" s="87">
        <f>AR7*'Mine Inventory'!$AE$6</f>
        <v/>
      </c>
      <c r="AS9" s="87">
        <f>AS7*'Mine Inventory'!$AE$10</f>
        <v/>
      </c>
      <c r="AT9" s="87">
        <f>AT7*'Mine Inventory'!$AE$2</f>
        <v/>
      </c>
      <c r="AU9" s="87">
        <f>AU7*'Mine Inventory'!AE13</f>
        <v/>
      </c>
      <c r="AV9" s="87">
        <f>AV7*'Mine Inventory'!$AE$3</f>
        <v/>
      </c>
      <c r="AW9" s="87">
        <f>AW7*'Mine Inventory'!$AE$7</f>
        <v/>
      </c>
      <c r="AX9" s="87">
        <f>AX7*'Mine Inventory'!$AE$4</f>
        <v/>
      </c>
      <c r="AY9" s="87">
        <f>AY7*'Mine Inventory'!$AE$11</f>
        <v/>
      </c>
      <c r="AZ9" s="87">
        <f>AZ7*'Mine Inventory'!$AE$8</f>
        <v/>
      </c>
      <c r="BA9" s="87">
        <f>BA7*'Mine Inventory'!$AE$5</f>
        <v/>
      </c>
      <c r="BB9" s="87">
        <f>BB7*'Mine Inventory'!$AE$12</f>
        <v/>
      </c>
      <c r="BC9" s="87">
        <f>BC7*'Mine Inventory'!$AE$9</f>
        <v/>
      </c>
      <c r="BD9" s="87">
        <f>BD7*'Mine Inventory'!$AE$6</f>
        <v/>
      </c>
      <c r="BE9" s="87">
        <f>BE7*'Mine Inventory'!$AE$10</f>
        <v/>
      </c>
      <c r="BF9" s="87">
        <f>BF7*'Mine Inventory'!$AE$2</f>
        <v/>
      </c>
      <c r="BG9" s="87">
        <f>BG7*'Mine Inventory'!$AE$13</f>
        <v/>
      </c>
      <c r="BH9" s="87">
        <f>BH7*'Mine Inventory'!$AE$3</f>
        <v/>
      </c>
      <c r="BI9" s="87">
        <f>BI7*'Mine Inventory'!$AE$7</f>
        <v/>
      </c>
    </row>
    <row r="10">
      <c r="A10" s="38" t="inlineStr">
        <is>
          <t>Admin Fees (oz)</t>
        </is>
      </c>
      <c r="B10" s="299" t="n">
        <v>0</v>
      </c>
      <c r="C10" s="299" t="n">
        <v>0</v>
      </c>
      <c r="D10" s="299" t="n">
        <v>0</v>
      </c>
      <c r="E10" s="117" t="n">
        <v>0</v>
      </c>
      <c r="F10" s="117" t="n">
        <v>0</v>
      </c>
      <c r="G10" s="100">
        <f>G7*Inputs!B26</f>
        <v/>
      </c>
      <c r="H10" s="100">
        <f>H7*Inputs!B26</f>
        <v/>
      </c>
      <c r="I10" s="117" t="n">
        <v>0</v>
      </c>
      <c r="J10" s="87">
        <f>J7*Inputs!$B$26</f>
        <v/>
      </c>
      <c r="K10" s="87">
        <f>K7*Inputs!$B$26</f>
        <v/>
      </c>
      <c r="L10" s="87">
        <f>L7*Inputs!$B$26</f>
        <v/>
      </c>
      <c r="M10" s="87">
        <f>M7*Inputs!$B$26</f>
        <v/>
      </c>
      <c r="N10" s="87">
        <f>N9*Inputs!$B$26</f>
        <v/>
      </c>
      <c r="O10" s="87">
        <f>O9*Inputs!$B$26</f>
        <v/>
      </c>
      <c r="P10" s="87">
        <f>P9*Inputs!$B$26</f>
        <v/>
      </c>
      <c r="Q10" s="87">
        <f>Q9*Inputs!$B$26</f>
        <v/>
      </c>
      <c r="R10" s="87">
        <f>R9*Inputs!$B$26</f>
        <v/>
      </c>
      <c r="S10" s="87">
        <f>S9*Inputs!$B$26</f>
        <v/>
      </c>
      <c r="T10" s="87">
        <f>T9*Inputs!$B$26</f>
        <v/>
      </c>
      <c r="U10" s="87">
        <f>U9*Inputs!$B$26</f>
        <v/>
      </c>
      <c r="V10" s="87">
        <f>V9*Inputs!$B$26</f>
        <v/>
      </c>
      <c r="W10" s="87">
        <f>W9*Inputs!$B$26</f>
        <v/>
      </c>
      <c r="X10" s="87">
        <f>X9*Inputs!$B$26</f>
        <v/>
      </c>
      <c r="Y10" s="87">
        <f>Y9*Inputs!$B$26</f>
        <v/>
      </c>
      <c r="Z10" s="87">
        <f>Z9*Inputs!$B$26</f>
        <v/>
      </c>
      <c r="AA10" s="87">
        <f>AA9*Inputs!$B$26</f>
        <v/>
      </c>
      <c r="AB10" s="87">
        <f>AB9*Inputs!$B$26</f>
        <v/>
      </c>
      <c r="AC10" s="87">
        <f>AC9*Inputs!$B$26</f>
        <v/>
      </c>
      <c r="AD10" s="87">
        <f>AD9*Inputs!$B$26</f>
        <v/>
      </c>
      <c r="AE10" s="87">
        <f>AE9*Inputs!$B$26</f>
        <v/>
      </c>
      <c r="AF10" s="87">
        <f>AF9*Inputs!$B$26</f>
        <v/>
      </c>
      <c r="AG10" s="87">
        <f>AG9*Inputs!$B$26</f>
        <v/>
      </c>
      <c r="AH10" s="87">
        <f>AH9*Inputs!$B$26</f>
        <v/>
      </c>
      <c r="AI10" s="87">
        <f>AI9*Inputs!$B$26</f>
        <v/>
      </c>
      <c r="AJ10" s="87">
        <f>AJ9*Inputs!$B$26</f>
        <v/>
      </c>
      <c r="AK10" s="87">
        <f>AK9*Inputs!$B$26</f>
        <v/>
      </c>
      <c r="AL10" s="87">
        <f>AL9*Inputs!$B$26</f>
        <v/>
      </c>
      <c r="AM10" s="87">
        <f>AM9*Inputs!$B$26</f>
        <v/>
      </c>
      <c r="AN10" s="87">
        <f>AN9*Inputs!$B$26</f>
        <v/>
      </c>
      <c r="AO10" s="87">
        <f>AO9*Inputs!$B$26</f>
        <v/>
      </c>
      <c r="AP10" s="87">
        <f>AP9*Inputs!$B$26</f>
        <v/>
      </c>
      <c r="AQ10" s="87">
        <f>AQ9*Inputs!$B$26</f>
        <v/>
      </c>
      <c r="AR10" s="87">
        <f>AR9*Inputs!$B$26</f>
        <v/>
      </c>
      <c r="AS10" s="87">
        <f>AS9*Inputs!$B$26</f>
        <v/>
      </c>
      <c r="AT10" s="87">
        <f>AT9*Inputs!$B$26</f>
        <v/>
      </c>
      <c r="AU10" s="87">
        <f>AU9*Inputs!$B$26</f>
        <v/>
      </c>
      <c r="AV10" s="87">
        <f>AV9*Inputs!$B$26</f>
        <v/>
      </c>
      <c r="AW10" s="87">
        <f>AW9*Inputs!$B$26</f>
        <v/>
      </c>
      <c r="AX10" s="87">
        <f>AX9*Inputs!$B$26</f>
        <v/>
      </c>
      <c r="AY10" s="87">
        <f>AY9*Inputs!$B$26</f>
        <v/>
      </c>
      <c r="AZ10" s="87">
        <f>AZ9*Inputs!$B$26</f>
        <v/>
      </c>
      <c r="BA10" s="87">
        <f>BA9*Inputs!$B$26</f>
        <v/>
      </c>
      <c r="BB10" s="87">
        <f>BB9*Inputs!$B$26</f>
        <v/>
      </c>
      <c r="BC10" s="87">
        <f>BC9*Inputs!$B$26</f>
        <v/>
      </c>
      <c r="BD10" s="87">
        <f>BD9*Inputs!$B$26</f>
        <v/>
      </c>
      <c r="BE10" s="87">
        <f>BE9*Inputs!$B$26</f>
        <v/>
      </c>
      <c r="BF10" s="87">
        <f>BF9*Inputs!$B$26</f>
        <v/>
      </c>
      <c r="BG10" s="87">
        <f>BG9*Inputs!$B$26</f>
        <v/>
      </c>
      <c r="BH10" s="87">
        <f>BH9*Inputs!$B$26</f>
        <v/>
      </c>
      <c r="BI10" s="87">
        <f>BI9*Inputs!$B$26</f>
        <v/>
      </c>
    </row>
    <row r="11">
      <c r="A11" s="38" t="inlineStr">
        <is>
          <t>RGT Liquidity Fee (oz)</t>
        </is>
      </c>
      <c r="B11" s="299" t="n">
        <v>0</v>
      </c>
      <c r="C11" s="299" t="n">
        <v>0</v>
      </c>
      <c r="D11" s="299" t="n">
        <v>0</v>
      </c>
      <c r="E11" s="117" t="n">
        <v>0</v>
      </c>
      <c r="F11" s="117" t="n">
        <v>0</v>
      </c>
      <c r="G11" s="117" t="n">
        <v>0</v>
      </c>
      <c r="H11" s="117" t="n">
        <v>0</v>
      </c>
      <c r="I11" s="117" t="n">
        <v>0</v>
      </c>
      <c r="J11" s="87">
        <f>'Mine Inventory'!R2</f>
        <v/>
      </c>
      <c r="K11" s="87" t="n">
        <v>0</v>
      </c>
      <c r="L11" s="87">
        <f>'Mine Inventory'!R3</f>
        <v/>
      </c>
      <c r="M11" s="87" t="n">
        <v>0</v>
      </c>
      <c r="N11" s="87">
        <f>'Mine Inventory'!R4</f>
        <v/>
      </c>
      <c r="O11" s="87" t="n">
        <v>0</v>
      </c>
      <c r="P11" s="87" t="n">
        <v>0</v>
      </c>
      <c r="Q11" s="87">
        <f>'Mine Inventory'!R5</f>
        <v/>
      </c>
      <c r="R11" s="87" t="n">
        <v>0</v>
      </c>
      <c r="S11" s="87" t="n">
        <v>0</v>
      </c>
      <c r="T11" s="87">
        <f>'Mine Inventory'!R6</f>
        <v/>
      </c>
      <c r="U11" s="87" t="n">
        <v>0</v>
      </c>
      <c r="V11" s="87" t="n">
        <v>0</v>
      </c>
      <c r="W11" s="87" t="n">
        <v>0</v>
      </c>
      <c r="X11" s="87" t="n">
        <v>0</v>
      </c>
      <c r="Y11" s="87">
        <f>'Mine Inventory'!R7</f>
        <v/>
      </c>
      <c r="Z11" s="87" t="n">
        <v>0</v>
      </c>
      <c r="AA11" s="87" t="n">
        <v>0</v>
      </c>
      <c r="AB11" s="87">
        <f>'Mine Inventory'!R8</f>
        <v/>
      </c>
      <c r="AC11" s="87" t="n">
        <v>0</v>
      </c>
      <c r="AD11" s="87" t="n">
        <v>0</v>
      </c>
      <c r="AE11" s="87">
        <f>'Mine Inventory'!R9</f>
        <v/>
      </c>
      <c r="AF11" s="87" t="n">
        <v>0</v>
      </c>
      <c r="AG11" s="87">
        <f>'Mine Inventory'!R10</f>
        <v/>
      </c>
      <c r="AH11" s="87" t="n">
        <v>0</v>
      </c>
      <c r="AI11" s="87" t="n">
        <v>0</v>
      </c>
      <c r="AJ11" s="87" t="n">
        <v>0</v>
      </c>
      <c r="AK11" s="87" t="n">
        <v>0</v>
      </c>
      <c r="AL11" s="87" t="n">
        <v>0</v>
      </c>
      <c r="AM11" s="87">
        <f>'Mine Inventory'!R11</f>
        <v/>
      </c>
      <c r="AN11" s="87" t="n">
        <v>0</v>
      </c>
      <c r="AO11" s="87" t="n">
        <v>0</v>
      </c>
      <c r="AP11" s="87">
        <f>'Mine Inventory'!R12</f>
        <v/>
      </c>
      <c r="AQ11" s="87" t="n">
        <v>0</v>
      </c>
      <c r="AR11" s="87" t="n">
        <v>0</v>
      </c>
      <c r="AS11" s="87" t="n">
        <v>0</v>
      </c>
      <c r="AT11" s="87" t="n">
        <v>0</v>
      </c>
      <c r="AU11" s="87">
        <f>'Mine Inventory'!R13</f>
        <v/>
      </c>
      <c r="AV11" s="87" t="n">
        <v>0</v>
      </c>
      <c r="AW11" s="87" t="n">
        <v>0</v>
      </c>
      <c r="AX11" s="87" t="n">
        <v>0</v>
      </c>
      <c r="AY11" s="87" t="n">
        <v>0</v>
      </c>
      <c r="AZ11" s="87" t="n">
        <v>0</v>
      </c>
      <c r="BA11" s="87" t="n">
        <v>0</v>
      </c>
      <c r="BB11" s="87" t="n">
        <v>0</v>
      </c>
      <c r="BC11" s="87" t="n">
        <v>0</v>
      </c>
      <c r="BD11" s="87" t="n">
        <v>0</v>
      </c>
      <c r="BE11" s="87" t="n">
        <v>0</v>
      </c>
      <c r="BF11" s="87" t="n">
        <v>0</v>
      </c>
      <c r="BG11" s="87" t="n">
        <v>0</v>
      </c>
      <c r="BH11" s="87" t="n">
        <v>0</v>
      </c>
      <c r="BI11" s="87" t="n">
        <v>0</v>
      </c>
    </row>
    <row r="12">
      <c r="A12" s="38" t="inlineStr">
        <is>
          <t>New Allocation to RealGold Treasury (oz)</t>
        </is>
      </c>
      <c r="B12" s="299" t="n">
        <v>0</v>
      </c>
      <c r="C12" s="299" t="n">
        <v>0</v>
      </c>
      <c r="D12" s="299" t="n">
        <v>0</v>
      </c>
      <c r="E12" s="117" t="n">
        <v>0</v>
      </c>
      <c r="F12" s="117" t="n">
        <v>0</v>
      </c>
      <c r="G12" s="117" t="n">
        <v>0</v>
      </c>
      <c r="H12" s="117" t="n">
        <v>0</v>
      </c>
      <c r="I12" s="117" t="n">
        <v>0</v>
      </c>
      <c r="J12" s="87">
        <f>J11 + (J7*'Mine Inventory'!AF2)</f>
        <v/>
      </c>
      <c r="K12" s="87" t="n">
        <v>0</v>
      </c>
      <c r="L12" s="87">
        <f>L11 + (L7*'Mine Inventory'!AF3)</f>
        <v/>
      </c>
      <c r="M12" s="87" t="n">
        <v>0</v>
      </c>
      <c r="N12" s="87">
        <f>N11 + (N7*'Mine Inventory'!AF4)</f>
        <v/>
      </c>
      <c r="O12" s="87" t="n">
        <v>0</v>
      </c>
      <c r="P12" s="87" t="n">
        <v>0</v>
      </c>
      <c r="Q12" s="87">
        <f>Q11 + (Q7*'Mine Inventory'!AF5)</f>
        <v/>
      </c>
      <c r="R12" s="87" t="n">
        <v>0</v>
      </c>
      <c r="S12" s="87" t="n">
        <v>0</v>
      </c>
      <c r="T12" s="87">
        <f>T11 + (T7*'Mine Inventory'!AF6)</f>
        <v/>
      </c>
      <c r="U12" s="87" t="n">
        <v>0</v>
      </c>
      <c r="V12" s="87">
        <f>V7*'Mine Inventory'!$AF$2</f>
        <v/>
      </c>
      <c r="W12" s="87" t="n">
        <v>0</v>
      </c>
      <c r="X12" s="87">
        <f>X7*'Mine Inventory'!$AF$3</f>
        <v/>
      </c>
      <c r="Y12" s="87">
        <f>Y11 + (Y7*'Mine Inventory'!AF7)</f>
        <v/>
      </c>
      <c r="Z12" s="87">
        <f>Z7*'Mine Inventory'!$AF$4</f>
        <v/>
      </c>
      <c r="AA12" s="87" t="n"/>
      <c r="AB12" s="87">
        <f>AB11 + (AB7*'Mine Inventory'!AF8)</f>
        <v/>
      </c>
      <c r="AC12" s="87">
        <f>AC7*'Mine Inventory'!$AF$5</f>
        <v/>
      </c>
      <c r="AD12" s="87" t="n"/>
      <c r="AE12" s="87">
        <f>AE11 + (AE7*'Mine Inventory'!AF9)</f>
        <v/>
      </c>
      <c r="AF12" s="87">
        <f>AF7*'Mine Inventory'!$AF$6</f>
        <v/>
      </c>
      <c r="AG12" s="87">
        <f>AG11 + (AG7*'Mine Inventory'!AF10)</f>
        <v/>
      </c>
      <c r="AH12" s="87">
        <f>AH7*'Mine Inventory'!$AF$2</f>
        <v/>
      </c>
      <c r="AI12" s="87" t="n">
        <v>0</v>
      </c>
      <c r="AJ12" s="87">
        <f>AJ7*'Mine Inventory'!$AF$3</f>
        <v/>
      </c>
      <c r="AK12" s="87">
        <f>AK7*'Mine Inventory'!$AF$7</f>
        <v/>
      </c>
      <c r="AL12" s="87">
        <f>AL7*'Mine Inventory'!$AF$4</f>
        <v/>
      </c>
      <c r="AM12" s="87">
        <f>AM11 + (AM7*'Mine Inventory'!AF11)</f>
        <v/>
      </c>
      <c r="AN12" s="87">
        <f>AN7*'Mine Inventory'!$AF$8</f>
        <v/>
      </c>
      <c r="AO12" s="87">
        <f>AO7*'Mine Inventory'!$AF$5</f>
        <v/>
      </c>
      <c r="AP12" s="87">
        <f>AP11 + (AP7*'Mine Inventory'!AF12)</f>
        <v/>
      </c>
      <c r="AQ12" s="87">
        <f>AQ7*'Mine Inventory'!$AF$9</f>
        <v/>
      </c>
      <c r="AR12" s="87">
        <f>AR7*'Mine Inventory'!$AF$6</f>
        <v/>
      </c>
      <c r="AS12" s="87">
        <f>AS7*'Mine Inventory'!$AF$10</f>
        <v/>
      </c>
      <c r="AT12" s="87">
        <f>AT7*'Mine Inventory'!$AF$2</f>
        <v/>
      </c>
      <c r="AU12" s="87">
        <f>AU11 + (AU7*'Mine Inventory'!AF13)</f>
        <v/>
      </c>
      <c r="AV12" s="87">
        <f>AV7*'Mine Inventory'!$AF$3</f>
        <v/>
      </c>
      <c r="AW12" s="87">
        <f>AW7*'Mine Inventory'!$AF$7</f>
        <v/>
      </c>
      <c r="AX12" s="87">
        <f>AX7*'Mine Inventory'!$AF$4</f>
        <v/>
      </c>
      <c r="AY12" s="87">
        <f>AY7*'Mine Inventory'!$AF$10</f>
        <v/>
      </c>
      <c r="AZ12" s="87">
        <f>AZ7*'Mine Inventory'!$AF$8</f>
        <v/>
      </c>
      <c r="BA12" s="87">
        <f>BA7*'Mine Inventory'!$AF$5</f>
        <v/>
      </c>
      <c r="BB12" s="87">
        <f>BB7*'Mine Inventory'!$AF$12</f>
        <v/>
      </c>
      <c r="BC12" s="87">
        <f>BC7*'Mine Inventory'!$AF$9</f>
        <v/>
      </c>
      <c r="BD12" s="87">
        <f>BD7*'Mine Inventory'!$AF$6</f>
        <v/>
      </c>
      <c r="BE12" s="87">
        <f>BE7*'Mine Inventory'!$AF$10</f>
        <v/>
      </c>
      <c r="BF12" s="87">
        <f>BF7*'Mine Inventory'!$AF$2</f>
        <v/>
      </c>
      <c r="BG12" s="87">
        <f>BG7*'Mine Inventory'!$AF$13</f>
        <v/>
      </c>
      <c r="BH12" s="87">
        <f>BH7*'Mine Inventory'!$AF$3</f>
        <v/>
      </c>
      <c r="BI12" s="87">
        <f>BI7*'Mine Inventory'!$AF$7</f>
        <v/>
      </c>
    </row>
    <row r="13">
      <c r="A13" s="38" t="inlineStr">
        <is>
          <t>RealGold Token Minting Fees (oz)</t>
        </is>
      </c>
      <c r="B13" s="299" t="n">
        <v>0</v>
      </c>
      <c r="C13" s="299" t="n">
        <v>0</v>
      </c>
      <c r="D13" s="299" t="n">
        <v>0</v>
      </c>
      <c r="E13" s="117" t="n">
        <v>0</v>
      </c>
      <c r="F13" s="117" t="n">
        <v>0</v>
      </c>
      <c r="G13" s="100" t="n">
        <v>0</v>
      </c>
      <c r="H13" s="100" t="n">
        <v>0</v>
      </c>
      <c r="I13" s="117" t="n">
        <v>0</v>
      </c>
      <c r="J13" s="87">
        <f>J12*Inputs!$B$26</f>
        <v/>
      </c>
      <c r="K13" s="87">
        <f>K12*Inputs!$B$26</f>
        <v/>
      </c>
      <c r="L13" s="87">
        <f>L12*Inputs!$B$26</f>
        <v/>
      </c>
      <c r="M13" s="87">
        <f>M12*Inputs!$B$26</f>
        <v/>
      </c>
      <c r="N13" s="87">
        <f>N12*Inputs!$B$26</f>
        <v/>
      </c>
      <c r="O13" s="87">
        <f>O12*Inputs!$B$26</f>
        <v/>
      </c>
      <c r="P13" s="87">
        <f>P12*Inputs!$B$26</f>
        <v/>
      </c>
      <c r="Q13" s="87">
        <f>Q12*Inputs!$B$26</f>
        <v/>
      </c>
      <c r="R13" s="87">
        <f>R12*Inputs!$B$26</f>
        <v/>
      </c>
      <c r="S13" s="87">
        <f>S12*Inputs!$B$26</f>
        <v/>
      </c>
      <c r="T13" s="87">
        <f>T12*Inputs!$B$26</f>
        <v/>
      </c>
      <c r="U13" s="87">
        <f>U12*Inputs!$B$26</f>
        <v/>
      </c>
      <c r="V13" s="87">
        <f>V12*Inputs!$B$26</f>
        <v/>
      </c>
      <c r="W13" s="87">
        <f>W12*Inputs!$B$26</f>
        <v/>
      </c>
      <c r="X13" s="87">
        <f>X12*Inputs!$B$26</f>
        <v/>
      </c>
      <c r="Y13" s="87">
        <f>Y12*Inputs!$B$26</f>
        <v/>
      </c>
      <c r="Z13" s="87">
        <f>Z12*Inputs!$B$26</f>
        <v/>
      </c>
      <c r="AA13" s="87">
        <f>AA12*Inputs!$B$26</f>
        <v/>
      </c>
      <c r="AB13" s="87">
        <f>AB12*Inputs!$B$26</f>
        <v/>
      </c>
      <c r="AC13" s="87">
        <f>AC12*Inputs!$B$26</f>
        <v/>
      </c>
      <c r="AD13" s="87">
        <f>AD12*Inputs!$B$26</f>
        <v/>
      </c>
      <c r="AE13" s="87">
        <f>AE12*Inputs!$B$26</f>
        <v/>
      </c>
      <c r="AF13" s="87">
        <f>AF12*Inputs!$B$26</f>
        <v/>
      </c>
      <c r="AG13" s="87">
        <f>AG12*Inputs!$B$26</f>
        <v/>
      </c>
      <c r="AH13" s="87">
        <f>AH12*Inputs!$B$26</f>
        <v/>
      </c>
      <c r="AI13" s="87">
        <f>AI12*Inputs!$B$26</f>
        <v/>
      </c>
      <c r="AJ13" s="87">
        <f>AJ12*Inputs!$B$26</f>
        <v/>
      </c>
      <c r="AK13" s="87">
        <f>AK12*Inputs!$B$26</f>
        <v/>
      </c>
      <c r="AL13" s="87">
        <f>AL12*Inputs!$B$26</f>
        <v/>
      </c>
      <c r="AM13" s="87">
        <f>AM12*Inputs!$B$26</f>
        <v/>
      </c>
      <c r="AN13" s="87">
        <f>AN12*Inputs!$B$26</f>
        <v/>
      </c>
      <c r="AO13" s="87">
        <f>AO12*Inputs!$B$26</f>
        <v/>
      </c>
      <c r="AP13" s="87">
        <f>AP12*Inputs!$B$26</f>
        <v/>
      </c>
      <c r="AQ13" s="87">
        <f>AQ12*Inputs!$B$26</f>
        <v/>
      </c>
      <c r="AR13" s="87">
        <f>AR12*Inputs!$B$26</f>
        <v/>
      </c>
      <c r="AS13" s="87">
        <f>AS12*Inputs!$B$26</f>
        <v/>
      </c>
      <c r="AT13" s="87">
        <f>AT12*Inputs!$B$26</f>
        <v/>
      </c>
      <c r="AU13" s="87">
        <f>AU12*Inputs!$B$26</f>
        <v/>
      </c>
      <c r="AV13" s="87">
        <f>AV12*Inputs!$B$26</f>
        <v/>
      </c>
      <c r="AW13" s="87">
        <f>AW12*Inputs!$B$26</f>
        <v/>
      </c>
      <c r="AX13" s="87">
        <f>AX12*Inputs!$B$26</f>
        <v/>
      </c>
      <c r="AY13" s="87">
        <f>AY12*Inputs!$B$26</f>
        <v/>
      </c>
      <c r="AZ13" s="87">
        <f>AZ12*Inputs!$B$26</f>
        <v/>
      </c>
      <c r="BA13" s="87">
        <f>BA12*Inputs!$B$26</f>
        <v/>
      </c>
      <c r="BB13" s="87">
        <f>BB12*Inputs!$B$26</f>
        <v/>
      </c>
      <c r="BC13" s="87">
        <f>BC12*Inputs!$B$26</f>
        <v/>
      </c>
      <c r="BD13" s="87">
        <f>BD12*Inputs!$B$26</f>
        <v/>
      </c>
      <c r="BE13" s="87">
        <f>BE12*Inputs!$B$26</f>
        <v/>
      </c>
      <c r="BF13" s="87">
        <f>BF12*Inputs!$B$26</f>
        <v/>
      </c>
      <c r="BG13" s="87">
        <f>BG12*Inputs!$B$26</f>
        <v/>
      </c>
      <c r="BH13" s="87">
        <f>BH12*Inputs!$B$26</f>
        <v/>
      </c>
      <c r="BI13" s="87">
        <f>BI12*Inputs!$B$26</f>
        <v/>
      </c>
    </row>
    <row r="14">
      <c r="A14" s="38" t="inlineStr">
        <is>
          <t>Total Admin &amp; Unit Fee Rev RAF (oz)</t>
        </is>
      </c>
      <c r="B14" s="299" t="n">
        <v>0</v>
      </c>
      <c r="C14" s="299" t="n">
        <v>0</v>
      </c>
      <c r="D14" s="299" t="n">
        <v>0</v>
      </c>
      <c r="E14" s="117" t="n">
        <v>0</v>
      </c>
      <c r="F14" s="117" t="n">
        <v>0</v>
      </c>
      <c r="G14" s="100">
        <f>sum(G8:G12)</f>
        <v/>
      </c>
      <c r="H14" s="100">
        <f>sum(H8:H12)</f>
        <v/>
      </c>
      <c r="I14" s="117" t="n">
        <v>0</v>
      </c>
      <c r="J14" s="87">
        <f>sum(J8+J10)</f>
        <v/>
      </c>
      <c r="K14" s="87" t="n">
        <v>0</v>
      </c>
      <c r="L14" s="87">
        <f>sum(L8+L10)</f>
        <v/>
      </c>
      <c r="M14" s="87">
        <f>sum(M8+M10)</f>
        <v/>
      </c>
      <c r="N14" s="87">
        <f>sum(N8+N10)</f>
        <v/>
      </c>
      <c r="O14" s="87">
        <f>sum(O8+O10)</f>
        <v/>
      </c>
      <c r="P14" s="87">
        <f>sum(P8+P10)</f>
        <v/>
      </c>
      <c r="Q14" s="87">
        <f>sum(Q8+Q10)</f>
        <v/>
      </c>
      <c r="R14" s="87">
        <f>sum(R8+R10)</f>
        <v/>
      </c>
      <c r="S14" s="87">
        <f>sum(S8+S10)</f>
        <v/>
      </c>
      <c r="T14" s="87">
        <f>sum(T8+T10)</f>
        <v/>
      </c>
      <c r="U14" s="87">
        <f>sum(U8+U10)</f>
        <v/>
      </c>
      <c r="V14" s="87">
        <f>sum(V8+V10)</f>
        <v/>
      </c>
      <c r="W14" s="87" t="n">
        <v>0</v>
      </c>
      <c r="X14" s="87">
        <f>sum(X8+X10)</f>
        <v/>
      </c>
      <c r="Y14" s="87">
        <f>sum(Y8+Y10)</f>
        <v/>
      </c>
      <c r="Z14" s="87">
        <f>sum(Z8+Z10)</f>
        <v/>
      </c>
      <c r="AA14" s="87">
        <f>sum(AA8+AA10)</f>
        <v/>
      </c>
      <c r="AB14" s="87">
        <f>sum(AB8+AB10)</f>
        <v/>
      </c>
      <c r="AC14" s="87">
        <f>sum(AC8+AC10)</f>
        <v/>
      </c>
      <c r="AD14" s="87">
        <f>sum(AD8+AD10)</f>
        <v/>
      </c>
      <c r="AE14" s="87">
        <f>sum(AE8+AE10)</f>
        <v/>
      </c>
      <c r="AF14" s="87">
        <f>sum(AF8+AF10)</f>
        <v/>
      </c>
      <c r="AG14" s="87">
        <f>sum(AG8+AG10)</f>
        <v/>
      </c>
      <c r="AH14" s="87">
        <f>sum(AH8+AH10)</f>
        <v/>
      </c>
      <c r="AI14" s="87">
        <f>sum(AI8+AI10)</f>
        <v/>
      </c>
      <c r="AJ14" s="87">
        <f>sum(AJ8+AJ10)</f>
        <v/>
      </c>
      <c r="AK14" s="87">
        <f>sum(AK8+AK10)</f>
        <v/>
      </c>
      <c r="AL14" s="87">
        <f>sum(AL8+AL10)</f>
        <v/>
      </c>
      <c r="AM14" s="87">
        <f>sum(AM8+AM10)</f>
        <v/>
      </c>
      <c r="AN14" s="87">
        <f>sum(AN8+AN10)</f>
        <v/>
      </c>
      <c r="AO14" s="87">
        <f>sum(AO8+AO10)</f>
        <v/>
      </c>
      <c r="AP14" s="87">
        <f>sum(AP8+AP10)</f>
        <v/>
      </c>
      <c r="AQ14" s="87">
        <f>sum(AQ8+AQ10)</f>
        <v/>
      </c>
      <c r="AR14" s="87">
        <f>sum(AR8+AR10)</f>
        <v/>
      </c>
      <c r="AS14" s="87">
        <f>sum(AS8+AS10)</f>
        <v/>
      </c>
      <c r="AT14" s="87">
        <f>sum(AT8+AT10)</f>
        <v/>
      </c>
      <c r="AU14" s="87">
        <f>sum(AU8+AU10)</f>
        <v/>
      </c>
      <c r="AV14" s="87">
        <f>sum(AV8+AV10)</f>
        <v/>
      </c>
      <c r="AW14" s="87">
        <f>sum(AW8+AW10)</f>
        <v/>
      </c>
      <c r="AX14" s="87">
        <f>sum(AX8+AX10)</f>
        <v/>
      </c>
      <c r="AY14" s="87">
        <f>sum(AY8+AY10)</f>
        <v/>
      </c>
      <c r="AZ14" s="87">
        <f>sum(AZ8+AZ10)</f>
        <v/>
      </c>
      <c r="BA14" s="87">
        <f>sum(BA8+BA10)</f>
        <v/>
      </c>
      <c r="BB14" s="87">
        <f>sum(BB8+BB10)</f>
        <v/>
      </c>
      <c r="BC14" s="87">
        <f>sum(BC8+BC10)</f>
        <v/>
      </c>
      <c r="BD14" s="87">
        <f>sum(BD8+BD10)</f>
        <v/>
      </c>
      <c r="BE14" s="87">
        <f>sum(BE8+BE10)</f>
        <v/>
      </c>
      <c r="BF14" s="87">
        <f>sum(BF8+BF10)</f>
        <v/>
      </c>
      <c r="BG14" s="87">
        <f>sum(BG8+BG10)</f>
        <v/>
      </c>
      <c r="BH14" s="87">
        <f>sum(BH8+BH10)</f>
        <v/>
      </c>
      <c r="BI14" s="87">
        <f>sum(BI8+BI10)</f>
        <v/>
      </c>
    </row>
    <row r="15">
      <c r="A15" s="38" t="inlineStr">
        <is>
          <t>Allocation to 1031 by Trusts (oz)</t>
        </is>
      </c>
      <c r="B15" s="299" t="n">
        <v>0</v>
      </c>
      <c r="C15" s="299" t="n">
        <v>0</v>
      </c>
      <c r="D15" s="299" t="n">
        <v>0</v>
      </c>
      <c r="E15" s="117" t="n">
        <v>0</v>
      </c>
      <c r="F15" s="117" t="n">
        <v>0</v>
      </c>
      <c r="G15" s="100">
        <f>(G7-G10)*'Mine Inventory'!AE2</f>
        <v/>
      </c>
      <c r="H15" s="100">
        <f>(H7-H10)*'Mine Inventory'!AF2</f>
        <v/>
      </c>
      <c r="I15" s="117" t="n">
        <v>0</v>
      </c>
      <c r="J15" s="87">
        <f>(J9-J10)</f>
        <v/>
      </c>
      <c r="K15" s="87">
        <f>(K9-K10)</f>
        <v/>
      </c>
      <c r="L15" s="87">
        <f>(L9-L10)</f>
        <v/>
      </c>
      <c r="M15" s="87">
        <f>(M9-M10)</f>
        <v/>
      </c>
      <c r="N15" s="87">
        <f>(N9-N10)</f>
        <v/>
      </c>
      <c r="O15" s="87">
        <f>(O9-O10)</f>
        <v/>
      </c>
      <c r="P15" s="87">
        <f>(P9-P10)</f>
        <v/>
      </c>
      <c r="Q15" s="87">
        <f>(Q9-Q10)</f>
        <v/>
      </c>
      <c r="R15" s="87">
        <f>(R9-R10)</f>
        <v/>
      </c>
      <c r="S15" s="87">
        <f>(S9-S10)</f>
        <v/>
      </c>
      <c r="T15" s="87">
        <f>(T9-T10)</f>
        <v/>
      </c>
      <c r="U15" s="87">
        <f>(U9-U10)</f>
        <v/>
      </c>
      <c r="V15" s="87">
        <f>(V9-V10)</f>
        <v/>
      </c>
      <c r="W15" s="87">
        <f>(W9-W10)</f>
        <v/>
      </c>
      <c r="X15" s="87">
        <f>(X9-X10)</f>
        <v/>
      </c>
      <c r="Y15" s="87">
        <f>(Y9-Y10)</f>
        <v/>
      </c>
      <c r="Z15" s="87">
        <f>(Z9-Z10)</f>
        <v/>
      </c>
      <c r="AA15" s="87">
        <f>(AA9-AA10)</f>
        <v/>
      </c>
      <c r="AB15" s="87">
        <f>(AB9-AB10)</f>
        <v/>
      </c>
      <c r="AC15" s="87">
        <f>(AC9-AC10)</f>
        <v/>
      </c>
      <c r="AD15" s="87">
        <f>(AD9-AD10)</f>
        <v/>
      </c>
      <c r="AE15" s="87">
        <f>(AE9-AE10)</f>
        <v/>
      </c>
      <c r="AF15" s="87">
        <f>(AF9-AF10)</f>
        <v/>
      </c>
      <c r="AG15" s="87">
        <f>(AG9-AG10)</f>
        <v/>
      </c>
      <c r="AH15" s="87">
        <f>(AH9-AH10)</f>
        <v/>
      </c>
      <c r="AI15" s="87">
        <f>(AI9-AI10)</f>
        <v/>
      </c>
      <c r="AJ15" s="87">
        <f>(AJ9-AJ10)</f>
        <v/>
      </c>
      <c r="AK15" s="87">
        <f>(AK9-AK10)</f>
        <v/>
      </c>
      <c r="AL15" s="87">
        <f>(AL9-AL10)</f>
        <v/>
      </c>
      <c r="AM15" s="87">
        <f>(AM9-AM10)</f>
        <v/>
      </c>
      <c r="AN15" s="87">
        <f>(AN9-AN10)</f>
        <v/>
      </c>
      <c r="AO15" s="87">
        <f>(AO9-AO10)</f>
        <v/>
      </c>
      <c r="AP15" s="87">
        <f>(AP9-AP10)</f>
        <v/>
      </c>
      <c r="AQ15" s="87">
        <f>(AQ9-AQ10)</f>
        <v/>
      </c>
      <c r="AR15" s="87">
        <f>(AR9-AR10)</f>
        <v/>
      </c>
      <c r="AS15" s="87">
        <f>(AS9-AS10)</f>
        <v/>
      </c>
      <c r="AT15" s="87">
        <f>(AT9-AT10)</f>
        <v/>
      </c>
      <c r="AU15" s="87">
        <f>(AU9-AU10)</f>
        <v/>
      </c>
      <c r="AV15" s="87">
        <f>(AV9-AV10)</f>
        <v/>
      </c>
      <c r="AW15" s="87">
        <f>(AW9-AW10)</f>
        <v/>
      </c>
      <c r="AX15" s="87">
        <f>(AX9-AX10)</f>
        <v/>
      </c>
      <c r="AY15" s="87">
        <f>(AY9-AY10)</f>
        <v/>
      </c>
      <c r="AZ15" s="87">
        <f>(AZ9-AZ10)</f>
        <v/>
      </c>
      <c r="BA15" s="87">
        <f>(BA9-BA10)</f>
        <v/>
      </c>
      <c r="BB15" s="87">
        <f>(BB9-BB10)</f>
        <v/>
      </c>
      <c r="BC15" s="87">
        <f>(BC9-BC10)</f>
        <v/>
      </c>
      <c r="BD15" s="87">
        <f>(BD9-BD10)</f>
        <v/>
      </c>
      <c r="BE15" s="87">
        <f>(BE9-BE10)</f>
        <v/>
      </c>
      <c r="BF15" s="87">
        <f>(BF9-BF10)</f>
        <v/>
      </c>
      <c r="BG15" s="87">
        <f>(BG9-BG10)</f>
        <v/>
      </c>
      <c r="BH15" s="87">
        <f>(BH9-BH10)</f>
        <v/>
      </c>
      <c r="BI15" s="87">
        <f>(BI9-BI10)</f>
        <v/>
      </c>
    </row>
    <row r="16">
      <c r="A16" s="38" t="inlineStr">
        <is>
          <t>Allocation to RealGold Treasury by Trusts (oz)</t>
        </is>
      </c>
      <c r="B16" s="299" t="n">
        <v>0</v>
      </c>
      <c r="C16" s="299" t="n">
        <v>0</v>
      </c>
      <c r="D16" s="299" t="n">
        <v>0</v>
      </c>
      <c r="E16" s="117" t="n">
        <v>0</v>
      </c>
      <c r="F16" s="117" t="n">
        <v>0</v>
      </c>
      <c r="G16" s="100" t="n">
        <v>0</v>
      </c>
      <c r="H16" s="100" t="n">
        <v>0</v>
      </c>
      <c r="I16" s="117" t="n">
        <v>0</v>
      </c>
      <c r="J16" s="87">
        <f>J12-J13</f>
        <v/>
      </c>
      <c r="K16" s="87">
        <f>K12-K13</f>
        <v/>
      </c>
      <c r="L16" s="87">
        <f>L12-L13</f>
        <v/>
      </c>
      <c r="M16" s="87">
        <f>M12-M13</f>
        <v/>
      </c>
      <c r="N16" s="87">
        <f>N12-N13</f>
        <v/>
      </c>
      <c r="O16" s="87">
        <f>O12-O13</f>
        <v/>
      </c>
      <c r="P16" s="87">
        <f>P12-P13</f>
        <v/>
      </c>
      <c r="Q16" s="87">
        <f>Q12-Q13</f>
        <v/>
      </c>
      <c r="R16" s="87">
        <f>R12-R13</f>
        <v/>
      </c>
      <c r="S16" s="87">
        <f>S12-S13</f>
        <v/>
      </c>
      <c r="T16" s="87">
        <f>T12-T13</f>
        <v/>
      </c>
      <c r="U16" s="87">
        <f>U12-U13</f>
        <v/>
      </c>
      <c r="V16" s="87">
        <f>V12-V13</f>
        <v/>
      </c>
      <c r="W16" s="87">
        <f>W12-W13</f>
        <v/>
      </c>
      <c r="X16" s="87">
        <f>X12-X13</f>
        <v/>
      </c>
      <c r="Y16" s="87">
        <f>Y12-Y13</f>
        <v/>
      </c>
      <c r="Z16" s="87">
        <f>Z12-Z13</f>
        <v/>
      </c>
      <c r="AA16" s="87">
        <f>AA12-AA13</f>
        <v/>
      </c>
      <c r="AB16" s="87">
        <f>AB12-AB13</f>
        <v/>
      </c>
      <c r="AC16" s="87">
        <f>AC12-AC13</f>
        <v/>
      </c>
      <c r="AD16" s="87">
        <f>AD12-AD13</f>
        <v/>
      </c>
      <c r="AE16" s="87">
        <f>AE12-AE13</f>
        <v/>
      </c>
      <c r="AF16" s="87">
        <f>AF12-AF13</f>
        <v/>
      </c>
      <c r="AG16" s="87">
        <f>AG12-AG13</f>
        <v/>
      </c>
      <c r="AH16" s="87">
        <f>AH12-AH13</f>
        <v/>
      </c>
      <c r="AI16" s="87">
        <f>AI12-AI13</f>
        <v/>
      </c>
      <c r="AJ16" s="87">
        <f>AJ12-AJ13</f>
        <v/>
      </c>
      <c r="AK16" s="87">
        <f>AK12-AK13</f>
        <v/>
      </c>
      <c r="AL16" s="87">
        <f>AL12-AL13</f>
        <v/>
      </c>
      <c r="AM16" s="87">
        <f>AM12-AM13</f>
        <v/>
      </c>
      <c r="AN16" s="87">
        <f>AN12-AN13</f>
        <v/>
      </c>
      <c r="AO16" s="87">
        <f>AO12-AO13</f>
        <v/>
      </c>
      <c r="AP16" s="87">
        <f>AP12-AP13</f>
        <v/>
      </c>
      <c r="AQ16" s="87">
        <f>AQ12-AQ13</f>
        <v/>
      </c>
      <c r="AR16" s="87">
        <f>AR12-AR13</f>
        <v/>
      </c>
      <c r="AS16" s="87">
        <f>AS12-AS13</f>
        <v/>
      </c>
      <c r="AT16" s="87">
        <f>AT12-AT13</f>
        <v/>
      </c>
      <c r="AU16" s="87">
        <f>AU12-AU13</f>
        <v/>
      </c>
      <c r="AV16" s="87">
        <f>AV12-AV13</f>
        <v/>
      </c>
      <c r="AW16" s="87">
        <f>AW12-AW13</f>
        <v/>
      </c>
      <c r="AX16" s="87">
        <f>AX12-AX13</f>
        <v/>
      </c>
      <c r="AY16" s="87">
        <f>AY12-AY13</f>
        <v/>
      </c>
      <c r="AZ16" s="87">
        <f>AZ12-AZ13</f>
        <v/>
      </c>
      <c r="BA16" s="87">
        <f>BA12-BA13</f>
        <v/>
      </c>
      <c r="BB16" s="87">
        <f>BB12-BB13</f>
        <v/>
      </c>
      <c r="BC16" s="87">
        <f>BC12-BC13</f>
        <v/>
      </c>
      <c r="BD16" s="87">
        <f>BD12-BD13</f>
        <v/>
      </c>
      <c r="BE16" s="87">
        <f>BE12-BE13</f>
        <v/>
      </c>
      <c r="BF16" s="87">
        <f>BF12-BF13</f>
        <v/>
      </c>
      <c r="BG16" s="87">
        <f>BG12-BG13</f>
        <v/>
      </c>
      <c r="BH16" s="87">
        <f>BH12-BH13</f>
        <v/>
      </c>
      <c r="BI16" s="87">
        <f>BI12-BI13</f>
        <v/>
      </c>
    </row>
    <row r="17">
      <c r="A17" s="148" t="n"/>
      <c r="B17" s="128" t="n"/>
      <c r="C17" s="289" t="n"/>
      <c r="D17" s="128" t="n"/>
      <c r="E17" s="128" t="n"/>
      <c r="F17" s="128" t="n"/>
      <c r="G17" s="130" t="n"/>
      <c r="H17" s="128" t="n"/>
      <c r="I17" s="128" t="n"/>
      <c r="J17" s="170"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32" t="n"/>
    </row>
    <row r="18">
      <c r="A18" s="38" t="inlineStr">
        <is>
          <t>Registered Resources ($)</t>
        </is>
      </c>
      <c r="B18" s="299" t="n">
        <v>0</v>
      </c>
      <c r="C18" s="123" t="n">
        <v>0</v>
      </c>
      <c r="D18" s="299" t="n">
        <v>0</v>
      </c>
      <c r="E18" s="117" t="n">
        <v>0</v>
      </c>
      <c r="F18" s="117" t="n">
        <v>0</v>
      </c>
      <c r="G18" s="133">
        <f>G4*XAUconfig!G3</f>
        <v/>
      </c>
      <c r="H18" s="133">
        <f>H4*XAUconfig!H3</f>
        <v/>
      </c>
      <c r="I18" s="133">
        <f>I4*XAUconfig!N3</f>
        <v/>
      </c>
      <c r="J18" s="133">
        <f>J4*XAUconfig!J3</f>
        <v/>
      </c>
      <c r="K18" s="133">
        <f>K4*XAUconfig!K3</f>
        <v/>
      </c>
      <c r="L18" s="133">
        <f>L4*XAUconfig!L3</f>
        <v/>
      </c>
      <c r="M18" s="133" t="n">
        <v>0</v>
      </c>
      <c r="N18" s="133">
        <f>N4*XAUconfig!N3</f>
        <v/>
      </c>
      <c r="O18" s="133" t="n">
        <v>0</v>
      </c>
      <c r="P18" s="133" t="n">
        <v>0</v>
      </c>
      <c r="Q18" s="133">
        <f>Q4*XAUconfig!Q3</f>
        <v/>
      </c>
      <c r="R18" s="133" t="n">
        <v>0</v>
      </c>
      <c r="S18" s="133" t="n">
        <v>0</v>
      </c>
      <c r="T18" s="133">
        <f>T4*XAUconfig!T3</f>
        <v/>
      </c>
      <c r="U18" s="133" t="n">
        <v>0</v>
      </c>
      <c r="V18" s="133" t="n">
        <v>0</v>
      </c>
      <c r="W18" s="133" t="n">
        <v>0</v>
      </c>
      <c r="X18" s="133">
        <f>X4*XAUconfig!Y3</f>
        <v/>
      </c>
      <c r="Y18" s="133">
        <f>Y4*XAUconfig!Y3</f>
        <v/>
      </c>
      <c r="Z18" s="133" t="n">
        <v>0</v>
      </c>
      <c r="AA18" s="133" t="n">
        <v>0</v>
      </c>
      <c r="AB18" s="133">
        <f>AB4*XAUconfig!AB3</f>
        <v/>
      </c>
      <c r="AC18" s="133" t="n">
        <v>0</v>
      </c>
      <c r="AD18" s="133" t="n">
        <v>0</v>
      </c>
      <c r="AE18" s="133" t="n">
        <v>0</v>
      </c>
      <c r="AF18" s="133" t="n">
        <v>0</v>
      </c>
      <c r="AG18" s="133">
        <f>AG4*XAUconfig!AG3</f>
        <v/>
      </c>
      <c r="AH18" s="133" t="n">
        <v>0</v>
      </c>
      <c r="AI18" s="133" t="n">
        <v>0</v>
      </c>
      <c r="AJ18" s="133">
        <f>AJ4*XAUconfig!AJ3</f>
        <v/>
      </c>
      <c r="AK18" s="133" t="n">
        <v>0</v>
      </c>
      <c r="AL18" s="133" t="n">
        <v>0</v>
      </c>
      <c r="AM18" s="133">
        <f>AM4*XAUconfig!AM3</f>
        <v/>
      </c>
      <c r="AN18" s="133" t="n">
        <v>0</v>
      </c>
      <c r="AO18" s="133" t="n">
        <v>0</v>
      </c>
      <c r="AP18" s="133">
        <f>AP4*XAUconfig!AP3</f>
        <v/>
      </c>
      <c r="AQ18" s="133" t="n">
        <v>0</v>
      </c>
      <c r="AR18" s="133" t="n">
        <v>0</v>
      </c>
      <c r="AS18" s="133" t="n">
        <v>0</v>
      </c>
      <c r="AT18" s="133" t="n">
        <v>0</v>
      </c>
      <c r="AU18" s="133">
        <f>AU4*XAUconfig!AU3</f>
        <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5" t="n">
        <v>0</v>
      </c>
    </row>
    <row r="19">
      <c r="A19" s="38" t="inlineStr">
        <is>
          <t>Authorized Resources ($)</t>
        </is>
      </c>
      <c r="B19" s="299" t="n">
        <v>0</v>
      </c>
      <c r="C19" s="123" t="n">
        <v>0</v>
      </c>
      <c r="D19" s="299" t="n">
        <v>0</v>
      </c>
      <c r="E19" s="117" t="n">
        <v>0</v>
      </c>
      <c r="F19" s="117" t="n">
        <v>0</v>
      </c>
      <c r="G19" s="133">
        <f>G5*XAUconfig!G3</f>
        <v/>
      </c>
      <c r="H19" s="133">
        <f>H5*XAUconfig!H3</f>
        <v/>
      </c>
      <c r="I19" s="133">
        <f>I5*XAUconfig!N3</f>
        <v/>
      </c>
      <c r="J19" s="133">
        <f>J5*XAUconfig!J3</f>
        <v/>
      </c>
      <c r="K19" s="133">
        <f>K5*XAUconfig!K3</f>
        <v/>
      </c>
      <c r="L19" s="133">
        <f>L5*XAUconfig!L3</f>
        <v/>
      </c>
      <c r="M19" s="133" t="n">
        <v>0</v>
      </c>
      <c r="N19" s="133">
        <f>N5*XAUconfig!N3</f>
        <v/>
      </c>
      <c r="O19" s="133" t="n">
        <v>0</v>
      </c>
      <c r="P19" s="133" t="n">
        <v>0</v>
      </c>
      <c r="Q19" s="133">
        <f>Q5*XAUconfig!Q3</f>
        <v/>
      </c>
      <c r="R19" s="133" t="n">
        <v>0</v>
      </c>
      <c r="S19" s="133" t="n">
        <v>0</v>
      </c>
      <c r="T19" s="133">
        <f>T5*XAUconfig!T3</f>
        <v/>
      </c>
      <c r="U19" s="133" t="n">
        <v>0</v>
      </c>
      <c r="V19" s="133" t="n">
        <v>0</v>
      </c>
      <c r="W19" s="133" t="n">
        <v>0</v>
      </c>
      <c r="X19" s="133">
        <f>X5*XAUconfig!X3</f>
        <v/>
      </c>
      <c r="Y19" s="133">
        <f>Y5*XAUconfig!Y3</f>
        <v/>
      </c>
      <c r="Z19" s="133">
        <f>Z5*Inputs!B9</f>
        <v/>
      </c>
      <c r="AA19" s="133" t="n">
        <v>0</v>
      </c>
      <c r="AB19" s="133">
        <f>AB5*XAUconfig!AB3</f>
        <v/>
      </c>
      <c r="AC19" s="133">
        <f>AC5*Inputs!B9</f>
        <v/>
      </c>
      <c r="AD19" s="133" t="n">
        <v>0</v>
      </c>
      <c r="AE19" s="133">
        <f>AE5*Inputs!B9</f>
        <v/>
      </c>
      <c r="AF19" s="133">
        <f>AF5*Inputs!B9</f>
        <v/>
      </c>
      <c r="AG19" s="133">
        <f>AG5*XAUconfig!AG3</f>
        <v/>
      </c>
      <c r="AH19" s="133">
        <f>AH5*Inputs!B9</f>
        <v/>
      </c>
      <c r="AI19" s="133">
        <f>AI5*Inputs!B9</f>
        <v/>
      </c>
      <c r="AJ19" s="133">
        <f>AJ5*XAUconfig!AJ3</f>
        <v/>
      </c>
      <c r="AK19" s="133">
        <f>AK5*Inputs!B9</f>
        <v/>
      </c>
      <c r="AL19" s="133">
        <f>AL5*Inputs!B9</f>
        <v/>
      </c>
      <c r="AM19" s="133">
        <f>AM5*XAUconfig!AM3</f>
        <v/>
      </c>
      <c r="AN19" s="133">
        <f>AN5*Inputs!B9</f>
        <v/>
      </c>
      <c r="AO19" s="133">
        <f>AO5*Inputs!B9</f>
        <v/>
      </c>
      <c r="AP19" s="133">
        <f>AP5*XAUconfig!AP3</f>
        <v/>
      </c>
      <c r="AQ19" s="133">
        <f>AQ5*Inputs!B9</f>
        <v/>
      </c>
      <c r="AR19" s="133">
        <f>AR5*Inputs!B9</f>
        <v/>
      </c>
      <c r="AS19" s="133">
        <f>AS5*Inputs!B9</f>
        <v/>
      </c>
      <c r="AT19" s="133">
        <f>AT5*Inputs!B9</f>
        <v/>
      </c>
      <c r="AU19" s="133">
        <f>AU5*XAUconfig!AU3</f>
        <v/>
      </c>
      <c r="AV19" s="133">
        <f>AV5*Inputs!B9</f>
        <v/>
      </c>
      <c r="AW19" s="133">
        <f>AW5*Inputs!B9</f>
        <v/>
      </c>
      <c r="AX19" s="133">
        <f>AX5*Inputs!B9</f>
        <v/>
      </c>
      <c r="AY19" s="133">
        <f>AY5*Inputs!B9</f>
        <v/>
      </c>
      <c r="AZ19" s="133">
        <f>AZ5*Inputs!B9</f>
        <v/>
      </c>
      <c r="BA19" s="133">
        <f>BA5*Inputs!B9</f>
        <v/>
      </c>
      <c r="BB19" s="133">
        <f>BB5*Inputs!B9</f>
        <v/>
      </c>
      <c r="BC19" s="133">
        <f>BC5*Inputs!B9</f>
        <v/>
      </c>
      <c r="BD19" s="133">
        <f>BD5*Inputs!B9</f>
        <v/>
      </c>
      <c r="BE19" s="133">
        <f>BE5*Inputs!B9</f>
        <v/>
      </c>
      <c r="BF19" s="133">
        <f>BF5*Inputs!B9</f>
        <v/>
      </c>
      <c r="BG19" s="133">
        <f>BG5*Inputs!B9</f>
        <v/>
      </c>
      <c r="BH19" s="133">
        <f>BH5*Inputs!B9</f>
        <v/>
      </c>
      <c r="BI19" s="135">
        <f>BI5*Inputs!B9</f>
        <v/>
      </c>
    </row>
    <row r="20">
      <c r="A20" s="38" t="inlineStr">
        <is>
          <t>Releasable Resources ($)</t>
        </is>
      </c>
      <c r="B20" s="299" t="n">
        <v>0</v>
      </c>
      <c r="C20" s="123" t="n">
        <v>0</v>
      </c>
      <c r="D20" s="299" t="n">
        <v>0</v>
      </c>
      <c r="E20" s="117" t="n">
        <v>0</v>
      </c>
      <c r="F20" s="117" t="n">
        <v>0</v>
      </c>
      <c r="G20" s="133">
        <f>G6*XAUconfig!G3</f>
        <v/>
      </c>
      <c r="H20" s="133">
        <f>H6*XAUconfig!H3</f>
        <v/>
      </c>
      <c r="I20" s="133">
        <f>I6*Inputs!B9</f>
        <v/>
      </c>
      <c r="J20" s="133">
        <f>J6*XAUconfig!J3</f>
        <v/>
      </c>
      <c r="K20" s="133">
        <f>K6*Inputs!B9</f>
        <v/>
      </c>
      <c r="L20" s="133">
        <f>L6*XAUconfig!L3</f>
        <v/>
      </c>
      <c r="M20" s="133">
        <f>M6*Inputs!B9</f>
        <v/>
      </c>
      <c r="N20" s="133">
        <f>N6*XAUconfig!N3</f>
        <v/>
      </c>
      <c r="O20" s="133">
        <f>O6*Inputs!B9</f>
        <v/>
      </c>
      <c r="P20" s="133">
        <f>P6*Inputs!B9</f>
        <v/>
      </c>
      <c r="Q20" s="133">
        <f>Q6*XAUconfig!Q3</f>
        <v/>
      </c>
      <c r="R20" s="133">
        <f>R6*Inputs!B9</f>
        <v/>
      </c>
      <c r="S20" s="133">
        <f>S6*XAUconfig!S3</f>
        <v/>
      </c>
      <c r="T20" s="133">
        <f>T6*XAUconfig!T3</f>
        <v/>
      </c>
      <c r="U20" s="133">
        <f>U6*Inputs!B9</f>
        <v/>
      </c>
      <c r="V20" s="133">
        <f>V6*XAUconfig!V3</f>
        <v/>
      </c>
      <c r="W20" s="133">
        <f>W6*Inputs!B9</f>
        <v/>
      </c>
      <c r="X20" s="133">
        <f>X6*XAUconfig!X3</f>
        <v/>
      </c>
      <c r="Y20" s="133">
        <f>Y6*XAUconfig!Y3</f>
        <v/>
      </c>
      <c r="Z20" s="133">
        <f>Z6*Inputs!B9</f>
        <v/>
      </c>
      <c r="AA20" s="133">
        <f>AA6*Inputs!B9</f>
        <v/>
      </c>
      <c r="AB20" s="133">
        <f>AB6*XAUconfig!AB3</f>
        <v/>
      </c>
      <c r="AC20" s="133">
        <f>AC6*Inputs!B9</f>
        <v/>
      </c>
      <c r="AD20" s="133">
        <f>AD6*Inputs!B9</f>
        <v/>
      </c>
      <c r="AE20" s="133">
        <f>AE6*Inputs!B9</f>
        <v/>
      </c>
      <c r="AF20" s="133" t="n">
        <v>0</v>
      </c>
      <c r="AG20" s="133">
        <f>AG6*XAUconfig!AG3</f>
        <v/>
      </c>
      <c r="AH20" s="133">
        <f>AH6*Inputs!B9</f>
        <v/>
      </c>
      <c r="AI20" s="133">
        <f>AI6*Inputs!B9</f>
        <v/>
      </c>
      <c r="AJ20" s="133">
        <f>AJ6*XAUconfig!AJ3</f>
        <v/>
      </c>
      <c r="AK20" s="133">
        <f>AK6*Inputs!B9</f>
        <v/>
      </c>
      <c r="AL20" s="133">
        <f>AL6*Inputs!B9</f>
        <v/>
      </c>
      <c r="AM20" s="133">
        <f>AM6*XAUconfig!AM3</f>
        <v/>
      </c>
      <c r="AN20" s="133">
        <f>AN6*Inputs!B9</f>
        <v/>
      </c>
      <c r="AO20" s="133">
        <f>AO6*Inputs!B9</f>
        <v/>
      </c>
      <c r="AP20" s="133">
        <f>AP6*XAUconfig!AP3</f>
        <v/>
      </c>
      <c r="AQ20" s="133">
        <f>AQ6*Inputs!B9</f>
        <v/>
      </c>
      <c r="AR20" s="133">
        <f>AR6*Inputs!B9</f>
        <v/>
      </c>
      <c r="AS20" s="133">
        <f>AS6*Inputs!B9</f>
        <v/>
      </c>
      <c r="AT20" s="133">
        <f>AT6*Inputs!B9</f>
        <v/>
      </c>
      <c r="AU20" s="133">
        <f>AU6*XAUconfig!AU3</f>
        <v/>
      </c>
      <c r="AV20" s="133">
        <f>AV6*Inputs!B9</f>
        <v/>
      </c>
      <c r="AW20" s="133">
        <f>AW6*Inputs!B9</f>
        <v/>
      </c>
      <c r="AX20" s="133">
        <f>AX6*Inputs!B9</f>
        <v/>
      </c>
      <c r="AY20" s="133">
        <f>AY6*Inputs!B9</f>
        <v/>
      </c>
      <c r="AZ20" s="133">
        <f>AZ6*Inputs!B9</f>
        <v/>
      </c>
      <c r="BA20" s="133">
        <f>BA6*Inputs!B9</f>
        <v/>
      </c>
      <c r="BB20" s="133">
        <f>BB6*Inputs!B9</f>
        <v/>
      </c>
      <c r="BC20" s="133">
        <f>BC6*Inputs!B9</f>
        <v/>
      </c>
      <c r="BD20" s="133">
        <f>BD6*Inputs!B9</f>
        <v/>
      </c>
      <c r="BE20" s="133">
        <f>BE6*Inputs!B9</f>
        <v/>
      </c>
      <c r="BF20" s="133">
        <f>BF6*Inputs!B9</f>
        <v/>
      </c>
      <c r="BG20" s="133">
        <f>BG6*Inputs!B9</f>
        <v/>
      </c>
      <c r="BH20" s="133">
        <f>BH6*Inputs!B9</f>
        <v/>
      </c>
      <c r="BI20" s="135">
        <f>BI6*Inputs!B9</f>
        <v/>
      </c>
    </row>
    <row r="21">
      <c r="A21" s="38" t="inlineStr">
        <is>
          <t>Unlocked Resources ($)</t>
        </is>
      </c>
      <c r="B21" s="299" t="n">
        <v>0</v>
      </c>
      <c r="C21" s="123" t="n">
        <v>0</v>
      </c>
      <c r="D21" s="299" t="n">
        <v>0</v>
      </c>
      <c r="E21" s="117" t="n">
        <v>0</v>
      </c>
      <c r="F21" s="117" t="n">
        <v>0</v>
      </c>
      <c r="G21" s="133">
        <f>G7*XAUconfig!G3</f>
        <v/>
      </c>
      <c r="H21" s="133">
        <f>H7*XAUconfig!H3</f>
        <v/>
      </c>
      <c r="I21" s="133">
        <f>I7*XAUconfig!N3</f>
        <v/>
      </c>
      <c r="J21" s="133">
        <f>J7*XAUconfig!J3</f>
        <v/>
      </c>
      <c r="K21" s="133">
        <f>K7*XAUconfig!K3</f>
        <v/>
      </c>
      <c r="L21" s="133">
        <f>L7*XAUconfig!L3</f>
        <v/>
      </c>
      <c r="M21" s="133" t="n">
        <v>0</v>
      </c>
      <c r="N21" s="133">
        <f>N7*XAUconfig!N3</f>
        <v/>
      </c>
      <c r="O21" s="133" t="n">
        <v>0</v>
      </c>
      <c r="P21" s="133" t="n">
        <v>0</v>
      </c>
      <c r="Q21" s="133">
        <f>Q7*XAUconfig!Q3</f>
        <v/>
      </c>
      <c r="R21" s="133" t="n">
        <v>0</v>
      </c>
      <c r="S21" s="133">
        <f>S7*XAUconfig!S3</f>
        <v/>
      </c>
      <c r="T21" s="133">
        <f>T7*XAUconfig!T3</f>
        <v/>
      </c>
      <c r="U21" s="133" t="n">
        <v>0</v>
      </c>
      <c r="V21" s="133">
        <f>V7*XAUconfig!V3</f>
        <v/>
      </c>
      <c r="W21" s="133">
        <f>W7*XAUconfig!W3</f>
        <v/>
      </c>
      <c r="X21" s="133">
        <f>X7*XAUconfig!X3</f>
        <v/>
      </c>
      <c r="Y21" s="133">
        <f>Y7*XAUconfig!Y3</f>
        <v/>
      </c>
      <c r="Z21" s="133">
        <f>Z7*XAUconfig!Z3</f>
        <v/>
      </c>
      <c r="AA21" s="133" t="n">
        <v>0</v>
      </c>
      <c r="AB21" s="133">
        <f>AB7*XAUconfig!AB3</f>
        <v/>
      </c>
      <c r="AC21" s="133">
        <f>AC7*XAUconfig!AC3</f>
        <v/>
      </c>
      <c r="AD21" s="133" t="n">
        <v>0</v>
      </c>
      <c r="AE21" s="133">
        <f>AE7*XAUconfig!AE3</f>
        <v/>
      </c>
      <c r="AF21" s="133">
        <f>AF7*XAUconfig!AF3</f>
        <v/>
      </c>
      <c r="AG21" s="133">
        <f>AG7*XAUconfig!AG3</f>
        <v/>
      </c>
      <c r="AH21" s="133">
        <f>AH7*XAUconfig!AH3</f>
        <v/>
      </c>
      <c r="AI21" s="133">
        <f>AI7*Inputs!B9</f>
        <v/>
      </c>
      <c r="AJ21" s="133">
        <f>AJ7*XAUconfig!AJ3</f>
        <v/>
      </c>
      <c r="AK21" s="133">
        <f>AK7*XAUconfig!AK3</f>
        <v/>
      </c>
      <c r="AL21" s="133">
        <f>AL7*XAUconfig!AL3</f>
        <v/>
      </c>
      <c r="AM21" s="133">
        <f>AM7*XAUconfig!AM3</f>
        <v/>
      </c>
      <c r="AN21" s="133">
        <f>AN7*XAUconfig!AN3</f>
        <v/>
      </c>
      <c r="AO21" s="133">
        <f>AO7*XAUconfig!AO3</f>
        <v/>
      </c>
      <c r="AP21" s="133">
        <f>AP7*XAUconfig!AP3</f>
        <v/>
      </c>
      <c r="AQ21" s="133">
        <f>AQ7*XAUconfig!AQ3</f>
        <v/>
      </c>
      <c r="AR21" s="133">
        <f>AR7*XAUconfig!AR3</f>
        <v/>
      </c>
      <c r="AS21" s="133">
        <f>AS7*XAUconfig!AS3</f>
        <v/>
      </c>
      <c r="AT21" s="133">
        <f>AT7*XAUconfig!AT3</f>
        <v/>
      </c>
      <c r="AU21" s="133">
        <f>AU7*XAUconfig!AU3</f>
        <v/>
      </c>
      <c r="AV21" s="133">
        <f>AV7*XAUconfig!AV3</f>
        <v/>
      </c>
      <c r="AW21" s="133">
        <f>AW7*XAUconfig!AW3</f>
        <v/>
      </c>
      <c r="AX21" s="133">
        <f>AX7*XAUconfig!AX3</f>
        <v/>
      </c>
      <c r="AY21" s="133">
        <f>AY7*XAUconfig!AY3</f>
        <v/>
      </c>
      <c r="AZ21" s="133">
        <f>AZ7*XAUconfig!AZ3</f>
        <v/>
      </c>
      <c r="BA21" s="133">
        <f>BA7*XAUconfig!BA3</f>
        <v/>
      </c>
      <c r="BB21" s="133">
        <f>BB7*XAUconfig!BB3</f>
        <v/>
      </c>
      <c r="BC21" s="133">
        <f>BC7*XAUconfig!BC3</f>
        <v/>
      </c>
      <c r="BD21" s="133">
        <f>BD7*XAUconfig!BD3</f>
        <v/>
      </c>
      <c r="BE21" s="133">
        <f>BE7*XAUconfig!BE3</f>
        <v/>
      </c>
      <c r="BF21" s="133">
        <f>BF7*XAUconfig!BF3</f>
        <v/>
      </c>
      <c r="BG21" s="133">
        <f>BG7*XAUconfig!BG3</f>
        <v/>
      </c>
      <c r="BH21" s="133">
        <f>BH7*XAUconfig!BH3</f>
        <v/>
      </c>
      <c r="BI21" s="135">
        <f>BI7*XAUconfig!BI3</f>
        <v/>
      </c>
    </row>
    <row r="22">
      <c r="A22" s="38" t="inlineStr">
        <is>
          <t>Registration Fees ($)</t>
        </is>
      </c>
      <c r="B22" s="299" t="n">
        <v>0</v>
      </c>
      <c r="C22" s="123" t="n">
        <v>0</v>
      </c>
      <c r="D22" s="299" t="n">
        <v>0</v>
      </c>
      <c r="E22" s="117" t="n">
        <v>0</v>
      </c>
      <c r="F22" s="117" t="n">
        <v>0</v>
      </c>
      <c r="G22" s="133">
        <f>G8*XAUconfig!G3</f>
        <v/>
      </c>
      <c r="H22" s="133">
        <f>H8*XAUconfig!H3</f>
        <v/>
      </c>
      <c r="I22" s="133">
        <f>I8*XAUconfig!N3</f>
        <v/>
      </c>
      <c r="J22" s="133">
        <f>J8*XAUconfig!J3</f>
        <v/>
      </c>
      <c r="K22" s="133">
        <f>K8*XAUconfig!K3</f>
        <v/>
      </c>
      <c r="L22" s="133">
        <f>L8*XAUconfig!L3</f>
        <v/>
      </c>
      <c r="M22" s="133" t="n">
        <v>0</v>
      </c>
      <c r="N22" s="133">
        <f>N8*XAUconfig!N3</f>
        <v/>
      </c>
      <c r="O22" s="133" t="n">
        <v>0</v>
      </c>
      <c r="P22" s="133" t="n">
        <v>0</v>
      </c>
      <c r="Q22" s="133">
        <f>Q8*XAUconfig!Q3</f>
        <v/>
      </c>
      <c r="R22" s="133" t="n">
        <v>0</v>
      </c>
      <c r="S22" s="133">
        <f>S8*XAUconfig!S3</f>
        <v/>
      </c>
      <c r="T22" s="133">
        <f>T8*XAUconfig!T3</f>
        <v/>
      </c>
      <c r="U22" s="133" t="n">
        <v>0</v>
      </c>
      <c r="V22" s="133">
        <f>V8*XAUconfig!V3</f>
        <v/>
      </c>
      <c r="W22" s="133" t="n">
        <v>0</v>
      </c>
      <c r="X22" s="133">
        <f>X8*XAUconfig!X3</f>
        <v/>
      </c>
      <c r="Y22" s="133">
        <f>Y8*XAUconfig!Y3</f>
        <v/>
      </c>
      <c r="Z22" s="133">
        <f>Z8*XAUconfig!Z3</f>
        <v/>
      </c>
      <c r="AA22" s="133" t="n">
        <v>0</v>
      </c>
      <c r="AB22" s="133">
        <f>AB8*XAUconfig!AB3</f>
        <v/>
      </c>
      <c r="AC22" s="133">
        <f>AC8*XAUconfig!AC3</f>
        <v/>
      </c>
      <c r="AD22" s="133" t="n">
        <v>0</v>
      </c>
      <c r="AE22" s="133">
        <f>AE8*XAUconfig!AE3</f>
        <v/>
      </c>
      <c r="AF22" s="133">
        <f>AF8*XAUconfig!AF3</f>
        <v/>
      </c>
      <c r="AG22" s="133">
        <f>AG8*XAUconfig!AG3</f>
        <v/>
      </c>
      <c r="AH22" s="133">
        <f>AH8*XAUconfig!AH3</f>
        <v/>
      </c>
      <c r="AI22" s="133">
        <f>AI8*Inputs!B9</f>
        <v/>
      </c>
      <c r="AJ22" s="133">
        <f>AJ8*XAUconfig!AJ3</f>
        <v/>
      </c>
      <c r="AK22" s="133">
        <f>AK8*XAUconfig!AK3</f>
        <v/>
      </c>
      <c r="AL22" s="133">
        <f>AL8*XAUconfig!AL3</f>
        <v/>
      </c>
      <c r="AM22" s="133">
        <f>AM8*XAUconfig!AM3</f>
        <v/>
      </c>
      <c r="AN22" s="133">
        <f>AN8*XAUconfig!AN3</f>
        <v/>
      </c>
      <c r="AO22" s="133">
        <f>AO8*XAUconfig!AO3</f>
        <v/>
      </c>
      <c r="AP22" s="133">
        <f>AP8*XAUconfig!AP3</f>
        <v/>
      </c>
      <c r="AQ22" s="133">
        <f>AQ8*XAUconfig!AQ3</f>
        <v/>
      </c>
      <c r="AR22" s="133">
        <f>AR8*XAUconfig!AR3</f>
        <v/>
      </c>
      <c r="AS22" s="133">
        <f>AS8*XAUconfig!AS3</f>
        <v/>
      </c>
      <c r="AT22" s="133">
        <f>AT8*XAUconfig!AT3</f>
        <v/>
      </c>
      <c r="AU22" s="133">
        <f>AU8*XAUconfig!AU3</f>
        <v/>
      </c>
      <c r="AV22" s="133">
        <f>AV8*XAUconfig!AV3</f>
        <v/>
      </c>
      <c r="AW22" s="133">
        <f>AW8*XAUconfig!AW3</f>
        <v/>
      </c>
      <c r="AX22" s="133">
        <f>AX8*XAUconfig!AX3</f>
        <v/>
      </c>
      <c r="AY22" s="133">
        <f>AY8*XAUconfig!AY3</f>
        <v/>
      </c>
      <c r="AZ22" s="133">
        <f>AZ8*XAUconfig!AZ3</f>
        <v/>
      </c>
      <c r="BA22" s="133">
        <f>BA8*XAUconfig!BA3</f>
        <v/>
      </c>
      <c r="BB22" s="133">
        <f>BB8*XAUconfig!BB3</f>
        <v/>
      </c>
      <c r="BC22" s="133">
        <f>BC8*XAUconfig!BC3</f>
        <v/>
      </c>
      <c r="BD22" s="133">
        <f>BD8*XAUconfig!BD3</f>
        <v/>
      </c>
      <c r="BE22" s="133">
        <f>BE8*XAUconfig!BE3</f>
        <v/>
      </c>
      <c r="BF22" s="133">
        <f>BF8*XAUconfig!BF3</f>
        <v/>
      </c>
      <c r="BG22" s="133">
        <f>BG8*XAUconfig!BG3</f>
        <v/>
      </c>
      <c r="BH22" s="133">
        <f>BH8*XAUconfig!BH3</f>
        <v/>
      </c>
      <c r="BI22" s="135">
        <f>BI8*XAUconfig!BI3</f>
        <v/>
      </c>
    </row>
    <row r="23">
      <c r="A23" s="38" t="inlineStr">
        <is>
          <t>Unitization Fees ($)</t>
        </is>
      </c>
      <c r="B23" s="299" t="n">
        <v>0</v>
      </c>
      <c r="C23" s="299" t="n">
        <v>0</v>
      </c>
      <c r="D23" s="299" t="n">
        <v>0</v>
      </c>
      <c r="E23" s="117" t="n">
        <v>0</v>
      </c>
      <c r="F23" s="117" t="n">
        <v>0</v>
      </c>
      <c r="G23" s="133">
        <f>G10*XAUconfig!G3</f>
        <v/>
      </c>
      <c r="H23" s="133">
        <f>H10*XAUconfig!H3</f>
        <v/>
      </c>
      <c r="I23" s="133">
        <f>I10*XAUconfig!I3</f>
        <v/>
      </c>
      <c r="J23" s="133">
        <f>J10*XAUconfig!J3</f>
        <v/>
      </c>
      <c r="K23" s="133">
        <f>K10*XAUconfig!K3</f>
        <v/>
      </c>
      <c r="L23" s="133">
        <f>L10*XAUconfig!L3</f>
        <v/>
      </c>
      <c r="M23" s="133" t="n">
        <v>0</v>
      </c>
      <c r="N23" s="133">
        <f>N10*XAUconfig!N3</f>
        <v/>
      </c>
      <c r="O23" s="133" t="n">
        <v>0</v>
      </c>
      <c r="P23" s="133" t="n">
        <v>0</v>
      </c>
      <c r="Q23" s="133">
        <f>Q10*XAUconfig!Q3</f>
        <v/>
      </c>
      <c r="R23" s="133" t="n">
        <v>0</v>
      </c>
      <c r="S23" s="133">
        <f>S10*XAUconfig!S3</f>
        <v/>
      </c>
      <c r="T23" s="133">
        <f>T10*Inputs!B9</f>
        <v/>
      </c>
      <c r="U23" s="133" t="n">
        <v>0</v>
      </c>
      <c r="V23" s="133">
        <f>V10*XAUconfig!V3</f>
        <v/>
      </c>
      <c r="W23" s="133" t="n">
        <v>0</v>
      </c>
      <c r="X23" s="133">
        <f>X10*XAUconfig!X3</f>
        <v/>
      </c>
      <c r="Y23" s="133">
        <f>Y10*XAUconfig!Y3</f>
        <v/>
      </c>
      <c r="Z23" s="133">
        <f>Z10*XAUconfig!Z3</f>
        <v/>
      </c>
      <c r="AA23" s="133" t="n">
        <v>0</v>
      </c>
      <c r="AB23" s="133">
        <f>AB10*XAUconfig!AB3</f>
        <v/>
      </c>
      <c r="AC23" s="133">
        <f>AC10*XAUconfig!AC3</f>
        <v/>
      </c>
      <c r="AD23" s="133" t="n">
        <v>0</v>
      </c>
      <c r="AE23" s="133">
        <f>AE10*XAUconfig!AE3</f>
        <v/>
      </c>
      <c r="AF23" s="133">
        <f>AF10*XAUconfig!AF3</f>
        <v/>
      </c>
      <c r="AG23" s="133">
        <f>AG10*XAUconfig!AG3</f>
        <v/>
      </c>
      <c r="AH23" s="133">
        <f>AH10*XAUconfig!AH3</f>
        <v/>
      </c>
      <c r="AI23" s="133">
        <f>AI10*Inputs!B9</f>
        <v/>
      </c>
      <c r="AJ23" s="133">
        <f>AJ10*XAUconfig!AJ3</f>
        <v/>
      </c>
      <c r="AK23" s="133">
        <f>AK10*XAUconfig!AK3</f>
        <v/>
      </c>
      <c r="AL23" s="133">
        <f>AL10*XAUconfig!AL3</f>
        <v/>
      </c>
      <c r="AM23" s="133">
        <f>AM10*XAUconfig!AM3</f>
        <v/>
      </c>
      <c r="AN23" s="133">
        <f>AN10*XAUconfig!AN3</f>
        <v/>
      </c>
      <c r="AO23" s="133">
        <f>AO10*XAUconfig!AO3</f>
        <v/>
      </c>
      <c r="AP23" s="133">
        <f>AP10*XAUconfig!AP3</f>
        <v/>
      </c>
      <c r="AQ23" s="133">
        <f>AQ10*XAUconfig!AQ3</f>
        <v/>
      </c>
      <c r="AR23" s="133">
        <f>AR10*XAUconfig!AR3</f>
        <v/>
      </c>
      <c r="AS23" s="133">
        <f>AS10*XAUconfig!AS3</f>
        <v/>
      </c>
      <c r="AT23" s="133">
        <f>AT10*XAUconfig!AT3</f>
        <v/>
      </c>
      <c r="AU23" s="133">
        <f>AU10*XAUconfig!AU3</f>
        <v/>
      </c>
      <c r="AV23" s="133">
        <f>AV10*XAUconfig!AV3</f>
        <v/>
      </c>
      <c r="AW23" s="133">
        <f>AW10*XAUconfig!AW3</f>
        <v/>
      </c>
      <c r="AX23" s="133">
        <f>AX10*XAUconfig!AX3</f>
        <v/>
      </c>
      <c r="AY23" s="133">
        <f>AY10*XAUconfig!AY3</f>
        <v/>
      </c>
      <c r="AZ23" s="133">
        <f>AZ10*XAUconfig!AZ3</f>
        <v/>
      </c>
      <c r="BA23" s="133">
        <f>BA10*XAUconfig!BA3</f>
        <v/>
      </c>
      <c r="BB23" s="133">
        <f>BB10*XAUconfig!BB3</f>
        <v/>
      </c>
      <c r="BC23" s="133">
        <f>BC10*XAUconfig!BC3</f>
        <v/>
      </c>
      <c r="BD23" s="133">
        <f>BD10*XAUconfig!BD3</f>
        <v/>
      </c>
      <c r="BE23" s="133">
        <f>BE10*XAUconfig!BE3</f>
        <v/>
      </c>
      <c r="BF23" s="133">
        <f>BF10*XAUconfig!BF3</f>
        <v/>
      </c>
      <c r="BG23" s="133">
        <f>BG10*XAUconfig!BG3</f>
        <v/>
      </c>
      <c r="BH23" s="133">
        <f>BH10*XAUconfig!BH3</f>
        <v/>
      </c>
      <c r="BI23" s="135">
        <f>BI10*XAUconfig!BI3</f>
        <v/>
      </c>
    </row>
    <row r="24">
      <c r="A24" s="38" t="inlineStr">
        <is>
          <t>RealGold Token Minting Fees ($)</t>
        </is>
      </c>
      <c r="B24" s="299" t="n">
        <v>0</v>
      </c>
      <c r="C24" s="299" t="n">
        <v>0</v>
      </c>
      <c r="D24" s="299" t="n">
        <v>0</v>
      </c>
      <c r="E24" s="117" t="n">
        <v>0</v>
      </c>
      <c r="F24" s="117" t="n">
        <v>0</v>
      </c>
      <c r="G24" s="133" t="n">
        <v>0</v>
      </c>
      <c r="H24" s="133" t="n">
        <v>0</v>
      </c>
      <c r="I24" s="133" t="n">
        <v>0</v>
      </c>
      <c r="J24" s="133">
        <f>J13*XAUconfig!J3</f>
        <v/>
      </c>
      <c r="K24" s="133">
        <f>K13*XAUconfig!K3</f>
        <v/>
      </c>
      <c r="L24" s="133">
        <f>L13*XAUconfig!L3</f>
        <v/>
      </c>
      <c r="M24" s="133">
        <f>M13*XAUconfig!M3</f>
        <v/>
      </c>
      <c r="N24" s="133">
        <f>N13*XAUconfig!N3</f>
        <v/>
      </c>
      <c r="O24" s="133">
        <f>O13*XAUconfig!O3</f>
        <v/>
      </c>
      <c r="P24" s="133">
        <f>P13*XAUconfig!P3</f>
        <v/>
      </c>
      <c r="Q24" s="133">
        <f>Q13*XAUconfig!Q3</f>
        <v/>
      </c>
      <c r="R24" s="133">
        <f>R13*XAUconfig!R3</f>
        <v/>
      </c>
      <c r="S24" s="133">
        <f>S13*XAUconfig!S3</f>
        <v/>
      </c>
      <c r="T24" s="133">
        <f>T13*XAUconfig!T3</f>
        <v/>
      </c>
      <c r="U24" s="133">
        <f>U13*XAUconfig!U3</f>
        <v/>
      </c>
      <c r="V24" s="133">
        <f>V13*XAUconfig!V3</f>
        <v/>
      </c>
      <c r="W24" s="133">
        <f>W13*XAUconfig!W3</f>
        <v/>
      </c>
      <c r="X24" s="133">
        <f>X13*XAUconfig!X3</f>
        <v/>
      </c>
      <c r="Y24" s="133">
        <f>Y13*XAUconfig!Y3</f>
        <v/>
      </c>
      <c r="Z24" s="133">
        <f>Z13*XAUconfig!Z3</f>
        <v/>
      </c>
      <c r="AA24" s="133">
        <f>AA13*XAUconfig!AA3</f>
        <v/>
      </c>
      <c r="AB24" s="133">
        <f>AB13*XAUconfig!AB3</f>
        <v/>
      </c>
      <c r="AC24" s="133">
        <f>AC13*XAUconfig!AC3</f>
        <v/>
      </c>
      <c r="AD24" s="133">
        <f>AD13*XAUconfig!AD3</f>
        <v/>
      </c>
      <c r="AE24" s="133">
        <f>AE13*XAUconfig!AE3</f>
        <v/>
      </c>
      <c r="AF24" s="133">
        <f>AF13*XAUconfig!AF3</f>
        <v/>
      </c>
      <c r="AG24" s="133">
        <f>AG13*XAUconfig!AG3</f>
        <v/>
      </c>
      <c r="AH24" s="133">
        <f>AH13*XAUconfig!AH3</f>
        <v/>
      </c>
      <c r="AI24" s="133">
        <f>AI13*XAUconfig!AI3</f>
        <v/>
      </c>
      <c r="AJ24" s="133">
        <f>AJ13*XAUconfig!AJ3</f>
        <v/>
      </c>
      <c r="AK24" s="133">
        <f>AK13*XAUconfig!AK3</f>
        <v/>
      </c>
      <c r="AL24" s="133">
        <f>AL13*XAUconfig!AL3</f>
        <v/>
      </c>
      <c r="AM24" s="133">
        <f>AM13*XAUconfig!AM3</f>
        <v/>
      </c>
      <c r="AN24" s="133">
        <f>AN13*XAUconfig!AN3</f>
        <v/>
      </c>
      <c r="AO24" s="133">
        <f>AO13*XAUconfig!AO3</f>
        <v/>
      </c>
      <c r="AP24" s="133">
        <f>AP13*XAUconfig!AP3</f>
        <v/>
      </c>
      <c r="AQ24" s="133">
        <f>AQ13*XAUconfig!AQ3</f>
        <v/>
      </c>
      <c r="AR24" s="133">
        <f>AR13*XAUconfig!AR3</f>
        <v/>
      </c>
      <c r="AS24" s="133">
        <f>AS13*XAUconfig!AS3</f>
        <v/>
      </c>
      <c r="AT24" s="133">
        <f>AT13*XAUconfig!AT3</f>
        <v/>
      </c>
      <c r="AU24" s="133">
        <f>AU13*XAUconfig!AU3</f>
        <v/>
      </c>
      <c r="AV24" s="133">
        <f>AV13*XAUconfig!AV3</f>
        <v/>
      </c>
      <c r="AW24" s="133">
        <f>AW13*XAUconfig!AW3</f>
        <v/>
      </c>
      <c r="AX24" s="133">
        <f>AX13*XAUconfig!AX3</f>
        <v/>
      </c>
      <c r="AY24" s="133">
        <f>AY13*XAUconfig!AY3</f>
        <v/>
      </c>
      <c r="AZ24" s="133">
        <f>AZ13*XAUconfig!AZ3</f>
        <v/>
      </c>
      <c r="BA24" s="133">
        <f>BA13*XAUconfig!BA3</f>
        <v/>
      </c>
      <c r="BB24" s="133">
        <f>BB13*XAUconfig!BB3</f>
        <v/>
      </c>
      <c r="BC24" s="133">
        <f>BC13*XAUconfig!BC3</f>
        <v/>
      </c>
      <c r="BD24" s="133">
        <f>BD13*XAUconfig!BD3</f>
        <v/>
      </c>
      <c r="BE24" s="133">
        <f>BE13*XAUconfig!BE3</f>
        <v/>
      </c>
      <c r="BF24" s="133">
        <f>BF13*XAUconfig!BF3</f>
        <v/>
      </c>
      <c r="BG24" s="133">
        <f>BG13*XAUconfig!BG3</f>
        <v/>
      </c>
      <c r="BH24" s="133">
        <f>BH13*XAUconfig!BH3</f>
        <v/>
      </c>
      <c r="BI24" s="133">
        <f>BI13*XAUconfig!BI3</f>
        <v/>
      </c>
    </row>
    <row r="25">
      <c r="A25" s="38" t="inlineStr">
        <is>
          <t>Total Reg &amp; Unit Fee Rev ($)</t>
        </is>
      </c>
      <c r="B25" s="299" t="n">
        <v>0</v>
      </c>
      <c r="C25" s="299" t="n">
        <v>0</v>
      </c>
      <c r="D25" s="299" t="n">
        <v>0</v>
      </c>
      <c r="E25" s="117" t="n">
        <v>0</v>
      </c>
      <c r="F25" s="117" t="n">
        <v>0</v>
      </c>
      <c r="G25" s="133">
        <f>G22+G23</f>
        <v/>
      </c>
      <c r="H25" s="133">
        <f>H22+H23</f>
        <v/>
      </c>
      <c r="I25" s="133">
        <f>I22+I23</f>
        <v/>
      </c>
      <c r="J25" s="133">
        <f>J22+J23</f>
        <v/>
      </c>
      <c r="K25" s="133">
        <f>K22+K23</f>
        <v/>
      </c>
      <c r="L25" s="133">
        <f>L22+L23</f>
        <v/>
      </c>
      <c r="M25" s="133" t="n">
        <v>0</v>
      </c>
      <c r="N25" s="133">
        <f>N22+N23</f>
        <v/>
      </c>
      <c r="O25" s="133" t="n">
        <v>0</v>
      </c>
      <c r="P25" s="133" t="n">
        <v>0</v>
      </c>
      <c r="Q25" s="133">
        <f>Q22+Q23</f>
        <v/>
      </c>
      <c r="R25" s="133" t="n">
        <v>0</v>
      </c>
      <c r="S25" s="133">
        <f>S22+S23</f>
        <v/>
      </c>
      <c r="T25" s="133">
        <f>T22+T23</f>
        <v/>
      </c>
      <c r="U25" s="133" t="n">
        <v>0</v>
      </c>
      <c r="V25" s="133">
        <f>V22+V23</f>
        <v/>
      </c>
      <c r="W25" s="133" t="n">
        <v>0</v>
      </c>
      <c r="X25" s="133">
        <f>X22+X23</f>
        <v/>
      </c>
      <c r="Y25" s="133">
        <f>Y22+Y23</f>
        <v/>
      </c>
      <c r="Z25" s="133">
        <f>Z22+Z23</f>
        <v/>
      </c>
      <c r="AA25" s="133" t="n">
        <v>0</v>
      </c>
      <c r="AB25" s="133">
        <f>AB22+AB23</f>
        <v/>
      </c>
      <c r="AC25" s="133">
        <f>AC22+AC23</f>
        <v/>
      </c>
      <c r="AD25" s="133">
        <f>AD22+AD23</f>
        <v/>
      </c>
      <c r="AE25" s="133">
        <f>AE22+AE23</f>
        <v/>
      </c>
      <c r="AF25" s="133">
        <f>AF22+AF23</f>
        <v/>
      </c>
      <c r="AG25" s="133">
        <f>AG22+AG23</f>
        <v/>
      </c>
      <c r="AH25" s="133">
        <f>AH22+AH23</f>
        <v/>
      </c>
      <c r="AI25" s="133">
        <f>AI22+AI23</f>
        <v/>
      </c>
      <c r="AJ25" s="133">
        <f>AJ22+AJ23</f>
        <v/>
      </c>
      <c r="AK25" s="133">
        <f>AK22+AK23</f>
        <v/>
      </c>
      <c r="AL25" s="133">
        <f>AL22+AL23</f>
        <v/>
      </c>
      <c r="AM25" s="133">
        <f>AM22+AM23</f>
        <v/>
      </c>
      <c r="AN25" s="133">
        <f>AN22+AN23</f>
        <v/>
      </c>
      <c r="AO25" s="133">
        <f>AO22+AO23</f>
        <v/>
      </c>
      <c r="AP25" s="133">
        <f>AP22+AP23</f>
        <v/>
      </c>
      <c r="AQ25" s="133">
        <f>AQ22+AQ23</f>
        <v/>
      </c>
      <c r="AR25" s="133">
        <f>AR22+AR23</f>
        <v/>
      </c>
      <c r="AS25" s="133">
        <f>AS22+AS23</f>
        <v/>
      </c>
      <c r="AT25" s="133">
        <f>AT22+AT23</f>
        <v/>
      </c>
      <c r="AU25" s="133">
        <f>AU22+AU23</f>
        <v/>
      </c>
      <c r="AV25" s="133">
        <f>AV22+AV23</f>
        <v/>
      </c>
      <c r="AW25" s="133">
        <f>AW22+AW23</f>
        <v/>
      </c>
      <c r="AX25" s="133">
        <f>AX22+AX23</f>
        <v/>
      </c>
      <c r="AY25" s="133">
        <f>AY22+AY23</f>
        <v/>
      </c>
      <c r="AZ25" s="133">
        <f>AZ22+AZ23</f>
        <v/>
      </c>
      <c r="BA25" s="133">
        <f>BA22+BA23</f>
        <v/>
      </c>
      <c r="BB25" s="133">
        <f>BB22+BB23</f>
        <v/>
      </c>
      <c r="BC25" s="133">
        <f>BC22+BC23</f>
        <v/>
      </c>
      <c r="BD25" s="133">
        <f>BD22+BD23</f>
        <v/>
      </c>
      <c r="BE25" s="133">
        <f>BE22+BE23</f>
        <v/>
      </c>
      <c r="BF25" s="133">
        <f>BF22+BF23</f>
        <v/>
      </c>
      <c r="BG25" s="133">
        <f>BG22+BG23</f>
        <v/>
      </c>
      <c r="BH25" s="133">
        <f>BH22+BH23</f>
        <v/>
      </c>
      <c r="BI25" s="135">
        <f>BI22+BI23</f>
        <v/>
      </c>
    </row>
    <row r="26">
      <c r="A26" s="38" t="inlineStr">
        <is>
          <t>Allocation to 1031 ($)</t>
        </is>
      </c>
      <c r="B26" s="299" t="n">
        <v>0</v>
      </c>
      <c r="C26" s="299" t="n">
        <v>0</v>
      </c>
      <c r="D26" s="299" t="n">
        <v>0</v>
      </c>
      <c r="E26" s="117" t="n">
        <v>0</v>
      </c>
      <c r="F26" s="117" t="n">
        <v>0</v>
      </c>
      <c r="G26" s="133">
        <f>G15*XAUconfig!G3</f>
        <v/>
      </c>
      <c r="H26" s="133">
        <f>H15*XAUconfig!H3</f>
        <v/>
      </c>
      <c r="I26" s="133">
        <f>I15*XAUconfig!I3</f>
        <v/>
      </c>
      <c r="J26" s="133">
        <f>J15*XAUconfig!J3</f>
        <v/>
      </c>
      <c r="K26" s="133">
        <f>K15*XAUconfig!K3</f>
        <v/>
      </c>
      <c r="L26" s="133">
        <f>L15*XAUconfig!L3</f>
        <v/>
      </c>
      <c r="M26" s="133" t="n">
        <v>0</v>
      </c>
      <c r="N26" s="133">
        <f>N15*XAUconfig!N3</f>
        <v/>
      </c>
      <c r="O26" s="133" t="n">
        <v>0</v>
      </c>
      <c r="P26" s="133" t="n">
        <v>0</v>
      </c>
      <c r="Q26" s="133">
        <f>Q15*XAUconfig!Q3</f>
        <v/>
      </c>
      <c r="R26" s="133" t="n">
        <v>0</v>
      </c>
      <c r="S26" s="133">
        <f>S15*XAUconfig!S3</f>
        <v/>
      </c>
      <c r="T26" s="133">
        <f>T15*XAUconfig!T3</f>
        <v/>
      </c>
      <c r="U26" s="133" t="n">
        <v>0</v>
      </c>
      <c r="V26" s="133">
        <f>V15*XAUconfig!V3</f>
        <v/>
      </c>
      <c r="W26" s="133" t="n">
        <v>0</v>
      </c>
      <c r="X26" s="133">
        <f>X15*XAUconfig!X3</f>
        <v/>
      </c>
      <c r="Y26" s="133">
        <f>Y15*XAUconfig!Y3</f>
        <v/>
      </c>
      <c r="Z26" s="133">
        <f>Z15*XAUconfig!Z3</f>
        <v/>
      </c>
      <c r="AA26" s="133" t="n">
        <v>0</v>
      </c>
      <c r="AB26" s="133">
        <f>AB15*XAUconfig!AB3</f>
        <v/>
      </c>
      <c r="AC26" s="133">
        <f>AC15*XAUconfig!AC3</f>
        <v/>
      </c>
      <c r="AD26" s="133" t="n">
        <v>0</v>
      </c>
      <c r="AE26" s="133">
        <f>AE15*XAUconfig!AE3</f>
        <v/>
      </c>
      <c r="AF26" s="133">
        <f>AF15*XAUconfig!AF3</f>
        <v/>
      </c>
      <c r="AG26" s="133">
        <f>AG15*XAUconfig!AG3</f>
        <v/>
      </c>
      <c r="AH26" s="133">
        <f>AH15*XAUconfig!AH3</f>
        <v/>
      </c>
      <c r="AI26" s="133">
        <f>AI15*Inputs!B9</f>
        <v/>
      </c>
      <c r="AJ26" s="133">
        <f>AJ15*XAUconfig!AJ3</f>
        <v/>
      </c>
      <c r="AK26" s="133">
        <f>AK15*XAUconfig!AK3</f>
        <v/>
      </c>
      <c r="AL26" s="133">
        <f>AL15*XAUconfig!AL3</f>
        <v/>
      </c>
      <c r="AM26" s="133">
        <f>AM15*XAUconfig!AM3</f>
        <v/>
      </c>
      <c r="AN26" s="133">
        <f>AN15*XAUconfig!AN3</f>
        <v/>
      </c>
      <c r="AO26" s="133">
        <f>AO15*XAUconfig!AO3</f>
        <v/>
      </c>
      <c r="AP26" s="133">
        <f>AP15*XAUconfig!AP3</f>
        <v/>
      </c>
      <c r="AQ26" s="133">
        <f>AQ15*XAUconfig!AQ3</f>
        <v/>
      </c>
      <c r="AR26" s="133">
        <f>AR15*XAUconfig!AR3</f>
        <v/>
      </c>
      <c r="AS26" s="133">
        <f>AS15*XAUconfig!AS3</f>
        <v/>
      </c>
      <c r="AT26" s="133">
        <f>AT15*XAUconfig!AT3</f>
        <v/>
      </c>
      <c r="AU26" s="133">
        <f>AU15*XAUconfig!AU3</f>
        <v/>
      </c>
      <c r="AV26" s="133">
        <f>AV15*XAUconfig!AV3</f>
        <v/>
      </c>
      <c r="AW26" s="133">
        <f>AW15*XAUconfig!AW3</f>
        <v/>
      </c>
      <c r="AX26" s="133">
        <f>AX15*XAUconfig!AX3</f>
        <v/>
      </c>
      <c r="AY26" s="133">
        <f>AY15*XAUconfig!AY3</f>
        <v/>
      </c>
      <c r="AZ26" s="133">
        <f>AZ15*XAUconfig!AZ3</f>
        <v/>
      </c>
      <c r="BA26" s="133">
        <f>BA15*XAUconfig!BA3</f>
        <v/>
      </c>
      <c r="BB26" s="133">
        <f>BB15*XAUconfig!BB3</f>
        <v/>
      </c>
      <c r="BC26" s="133">
        <f>BC15*XAUconfig!BC3</f>
        <v/>
      </c>
      <c r="BD26" s="133">
        <f>BD15*XAUconfig!BD3</f>
        <v/>
      </c>
      <c r="BE26" s="133">
        <f>BE15*XAUconfig!BE3</f>
        <v/>
      </c>
      <c r="BF26" s="133">
        <f>BF15*XAUconfig!BF3</f>
        <v/>
      </c>
      <c r="BG26" s="133">
        <f>BG15*XAUconfig!BG3</f>
        <v/>
      </c>
      <c r="BH26" s="133">
        <f>BH15*XAUconfig!BH3</f>
        <v/>
      </c>
      <c r="BI26" s="135">
        <f>BI15*XAUconfig!BI3</f>
        <v/>
      </c>
    </row>
    <row r="27">
      <c r="A27" s="45" t="inlineStr">
        <is>
          <t>Allocation to RealGold Treasury ($)</t>
        </is>
      </c>
      <c r="B27" s="136" t="n">
        <v>0</v>
      </c>
      <c r="C27" s="136" t="n">
        <v>0</v>
      </c>
      <c r="D27" s="136" t="n">
        <v>0</v>
      </c>
      <c r="E27" s="137" t="n">
        <v>0</v>
      </c>
      <c r="F27" s="137" t="n">
        <v>0</v>
      </c>
      <c r="G27" s="139">
        <f>G16*XAUconfig!G3</f>
        <v/>
      </c>
      <c r="H27" s="139">
        <f>H16*XAUconfig!H3</f>
        <v/>
      </c>
      <c r="I27" s="139">
        <f>I16*XAUconfig!I3</f>
        <v/>
      </c>
      <c r="J27" s="139">
        <f>J16*XAUconfig!J3</f>
        <v/>
      </c>
      <c r="K27" s="139">
        <f>K16*XAUconfig!K3</f>
        <v/>
      </c>
      <c r="L27" s="139">
        <f>L16*XAUconfig!L3</f>
        <v/>
      </c>
      <c r="M27" s="139">
        <f>M16*XAUconfig!M3</f>
        <v/>
      </c>
      <c r="N27" s="139">
        <f>N16*XAUconfig!N3</f>
        <v/>
      </c>
      <c r="O27" s="139" t="n">
        <v>0</v>
      </c>
      <c r="P27" s="139" t="n">
        <v>0</v>
      </c>
      <c r="Q27" s="139">
        <f>Q16*XAUconfig!Q3</f>
        <v/>
      </c>
      <c r="R27" s="139" t="n">
        <v>0</v>
      </c>
      <c r="S27" s="139">
        <f>S16*XAUconfig!S3</f>
        <v/>
      </c>
      <c r="T27" s="139">
        <f>T16*XAUconfig!T3</f>
        <v/>
      </c>
      <c r="U27" s="139" t="n">
        <v>0</v>
      </c>
      <c r="V27" s="139">
        <f>V16*XAUconfig!V3</f>
        <v/>
      </c>
      <c r="W27" s="139" t="n">
        <v>0</v>
      </c>
      <c r="X27" s="139">
        <f>X16*XAUconfig!X3</f>
        <v/>
      </c>
      <c r="Y27" s="139">
        <f>Y16*XAUconfig!Y3</f>
        <v/>
      </c>
      <c r="Z27" s="139">
        <f>Z16*XAUconfig!Z3</f>
        <v/>
      </c>
      <c r="AA27" s="139" t="n">
        <v>0</v>
      </c>
      <c r="AB27" s="139">
        <f>AB16*XAUconfig!AB3</f>
        <v/>
      </c>
      <c r="AC27" s="139">
        <f>AC16*XAUconfig!AC3</f>
        <v/>
      </c>
      <c r="AD27" s="139" t="n">
        <v>0</v>
      </c>
      <c r="AE27" s="139">
        <f>AE16*XAUconfig!AE3</f>
        <v/>
      </c>
      <c r="AF27" s="139">
        <f>AF16*XAUconfig!AF3</f>
        <v/>
      </c>
      <c r="AG27" s="139">
        <f>AG16*XAUconfig!AG3</f>
        <v/>
      </c>
      <c r="AH27" s="139">
        <f>AH16*XAUconfig!AH3</f>
        <v/>
      </c>
      <c r="AI27" s="139">
        <f>AI16*Inputs!B9</f>
        <v/>
      </c>
      <c r="AJ27" s="139">
        <f>AJ16*XAUconfig!AJ3</f>
        <v/>
      </c>
      <c r="AK27" s="139">
        <f>AK16*XAUconfig!AK3</f>
        <v/>
      </c>
      <c r="AL27" s="139">
        <f>AL16*XAUconfig!AL3</f>
        <v/>
      </c>
      <c r="AM27" s="139">
        <f>AM16*XAUconfig!AM3</f>
        <v/>
      </c>
      <c r="AN27" s="139">
        <f>AN16*XAUconfig!AN3</f>
        <v/>
      </c>
      <c r="AO27" s="139">
        <f>AO16*XAUconfig!AO3</f>
        <v/>
      </c>
      <c r="AP27" s="139">
        <f>AP16*XAUconfig!AP3</f>
        <v/>
      </c>
      <c r="AQ27" s="139">
        <f>AQ16*XAUconfig!AQ3</f>
        <v/>
      </c>
      <c r="AR27" s="139">
        <f>AR16*XAUconfig!AR3</f>
        <v/>
      </c>
      <c r="AS27" s="139">
        <f>AS16*XAUconfig!AS3</f>
        <v/>
      </c>
      <c r="AT27" s="139">
        <f>AT16*XAUconfig!AT3</f>
        <v/>
      </c>
      <c r="AU27" s="139">
        <f>AU16*XAUconfig!AU3</f>
        <v/>
      </c>
      <c r="AV27" s="139">
        <f>AV16*XAUconfig!AV3</f>
        <v/>
      </c>
      <c r="AW27" s="139">
        <f>AW16*XAUconfig!AW3</f>
        <v/>
      </c>
      <c r="AX27" s="139">
        <f>AX16*XAUconfig!AX3</f>
        <v/>
      </c>
      <c r="AY27" s="139">
        <f>AY16*XAUconfig!AY3</f>
        <v/>
      </c>
      <c r="AZ27" s="139">
        <f>AZ16*XAUconfig!AZ3</f>
        <v/>
      </c>
      <c r="BA27" s="139">
        <f>BA16*XAUconfig!BA3</f>
        <v/>
      </c>
      <c r="BB27" s="139">
        <f>BB16*XAUconfig!BB3</f>
        <v/>
      </c>
      <c r="BC27" s="139">
        <f>BC16*XAUconfig!BC3</f>
        <v/>
      </c>
      <c r="BD27" s="139">
        <f>BD16*XAUconfig!BD3</f>
        <v/>
      </c>
      <c r="BE27" s="139">
        <f>BE16*XAUconfig!BE3</f>
        <v/>
      </c>
      <c r="BF27" s="139">
        <f>BF16*XAUconfig!BF3</f>
        <v/>
      </c>
      <c r="BG27" s="139">
        <f>BG16*XAUconfig!BG3</f>
        <v/>
      </c>
      <c r="BH27" s="139">
        <f>BH16*XAUconfig!BH3</f>
        <v/>
      </c>
      <c r="BI27" s="177">
        <f>BI16*XAUconfig!BI3</f>
        <v/>
      </c>
    </row>
    <row r="28">
      <c r="A28" s="304" t="n"/>
      <c r="B28" s="128" t="n"/>
      <c r="C28" s="128" t="n"/>
      <c r="D28" s="128" t="n"/>
      <c r="E28" s="128" t="n"/>
      <c r="F28" s="128" t="n"/>
      <c r="G28" s="128" t="n"/>
      <c r="H28" s="128" t="n"/>
      <c r="I28" s="128" t="n"/>
      <c r="J28" s="128" t="n"/>
      <c r="K28" s="128" t="n"/>
      <c r="L28" s="304" t="n"/>
      <c r="M28" s="128" t="n"/>
      <c r="N28" s="128" t="n"/>
      <c r="O28" s="128" t="n"/>
      <c r="P28" s="128" t="n"/>
      <c r="Q28" s="128" t="n"/>
      <c r="R28" s="128" t="n"/>
      <c r="S28" s="128" t="n"/>
      <c r="T28" s="128" t="n"/>
      <c r="U28" s="128" t="n"/>
      <c r="V28" s="128" t="n"/>
      <c r="W28" s="128" t="n"/>
      <c r="X28" s="128" t="n"/>
      <c r="Y28" s="128" t="n"/>
      <c r="Z28" s="128" t="n"/>
      <c r="AA28" s="128" t="n"/>
      <c r="AB28" s="128" t="n"/>
      <c r="AC28" s="128" t="n"/>
      <c r="AD28" s="128" t="n"/>
      <c r="AE28" s="128" t="n"/>
      <c r="AF28" s="128" t="n"/>
      <c r="AG28" s="128" t="n"/>
      <c r="AH28" s="128" t="n"/>
      <c r="AI28" s="128" t="n"/>
      <c r="AJ28" s="128" t="n"/>
      <c r="AK28" s="128" t="n"/>
      <c r="AL28" s="128" t="n"/>
      <c r="AM28" s="128" t="n"/>
      <c r="AN28" s="128" t="n"/>
      <c r="AO28" s="128" t="n"/>
      <c r="AP28" s="128" t="n"/>
      <c r="AQ28" s="128" t="n"/>
      <c r="AR28" s="128" t="n"/>
      <c r="AS28" s="128" t="n"/>
      <c r="AT28" s="128" t="n"/>
      <c r="AU28" s="128" t="n"/>
      <c r="AV28" s="128" t="n"/>
      <c r="AW28" s="128" t="n"/>
      <c r="AX28" s="128" t="n"/>
      <c r="AY28" s="128" t="n"/>
      <c r="AZ28" s="128" t="n"/>
      <c r="BA28" s="128" t="n"/>
      <c r="BB28" s="128" t="n"/>
      <c r="BC28" s="128" t="n"/>
      <c r="BD28" s="128" t="n"/>
      <c r="BE28" s="128" t="n"/>
      <c r="BF28" s="128" t="n"/>
      <c r="BG28" s="128" t="n"/>
      <c r="BH28" s="128" t="n"/>
      <c r="BI28" s="128" t="n"/>
    </row>
    <row r="29">
      <c r="A29" s="36" t="inlineStr">
        <is>
          <t>Resource Supply Cumulative Totals</t>
        </is>
      </c>
      <c r="B29" s="142" t="n"/>
      <c r="C29" s="142" t="n"/>
      <c r="D29" s="142"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c r="AA29" s="78" t="n"/>
      <c r="AB29" s="78" t="n"/>
      <c r="AC29" s="78" t="n"/>
      <c r="AD29" s="78" t="n"/>
      <c r="AE29" s="78" t="n"/>
      <c r="AF29" s="78" t="n"/>
      <c r="AG29" s="78" t="n"/>
      <c r="AH29" s="78" t="n"/>
      <c r="AI29" s="78" t="n"/>
      <c r="AJ29" s="78" t="n"/>
      <c r="AK29" s="78" t="n"/>
      <c r="AL29" s="78" t="n"/>
      <c r="AM29" s="78" t="n"/>
      <c r="AN29" s="78" t="n"/>
      <c r="AO29" s="78" t="n"/>
      <c r="AP29" s="78" t="n"/>
      <c r="AQ29" s="78" t="n"/>
      <c r="AR29" s="78" t="n"/>
      <c r="AS29" s="78" t="n"/>
      <c r="AT29" s="78" t="n"/>
      <c r="AU29" s="78" t="n"/>
      <c r="AV29" s="78" t="n"/>
      <c r="AW29" s="78" t="n"/>
      <c r="AX29" s="78" t="n"/>
      <c r="AY29" s="78" t="n"/>
      <c r="AZ29" s="78" t="n"/>
      <c r="BA29" s="78" t="n"/>
      <c r="BB29" s="78" t="n"/>
      <c r="BC29" s="78" t="n"/>
      <c r="BD29" s="78" t="n"/>
      <c r="BE29" s="78" t="n"/>
      <c r="BF29" s="78" t="n"/>
      <c r="BG29" s="78" t="n"/>
      <c r="BH29" s="78" t="n"/>
      <c r="BI29" s="143" t="n"/>
    </row>
    <row r="30">
      <c r="A30" s="38" t="inlineStr">
        <is>
          <t>Cumulative Registered Resources (oz)</t>
        </is>
      </c>
      <c r="B30" s="123" t="n">
        <v>0</v>
      </c>
      <c r="C30" s="123" t="n">
        <v>0</v>
      </c>
      <c r="D30" s="123" t="n">
        <v>0</v>
      </c>
      <c r="E30" s="100" t="n">
        <v>0</v>
      </c>
      <c r="F30" s="100" t="n">
        <v>0</v>
      </c>
      <c r="G30" s="100">
        <f>sum(B4:G4)</f>
        <v/>
      </c>
      <c r="H30" s="100">
        <f>sum(B4:H4)</f>
        <v/>
      </c>
      <c r="I30" s="100">
        <f>sum(C4:I4)</f>
        <v/>
      </c>
      <c r="J30" s="100">
        <f>sum(D4:J4)</f>
        <v/>
      </c>
      <c r="K30" s="100">
        <f>sum(E4:K4)</f>
        <v/>
      </c>
      <c r="L30" s="100">
        <f>sum(F4:L4)</f>
        <v/>
      </c>
      <c r="M30" s="100">
        <f>sum(B4:M4)</f>
        <v/>
      </c>
      <c r="N30" s="100">
        <f>sum(B4:N4)</f>
        <v/>
      </c>
      <c r="O30" s="100">
        <f>sum(B4:O4)</f>
        <v/>
      </c>
      <c r="P30" s="100">
        <f>sum(B4:P4)</f>
        <v/>
      </c>
      <c r="Q30" s="100">
        <f>sum(B4:Q4)</f>
        <v/>
      </c>
      <c r="R30" s="100">
        <f>sum(B4:R4)</f>
        <v/>
      </c>
      <c r="S30" s="100">
        <f>sum(B4:S4)</f>
        <v/>
      </c>
      <c r="T30" s="100">
        <f>sum(B4:T4)</f>
        <v/>
      </c>
      <c r="U30" s="100">
        <f>sum(B4:U4)</f>
        <v/>
      </c>
      <c r="V30" s="100">
        <f>sum(B4:V4)</f>
        <v/>
      </c>
      <c r="W30" s="100">
        <f>sum(B4:W4)</f>
        <v/>
      </c>
      <c r="X30" s="100">
        <f>sum(B4:X4)</f>
        <v/>
      </c>
      <c r="Y30" s="100">
        <f>sum(B4:Y4)</f>
        <v/>
      </c>
      <c r="Z30" s="100">
        <f>sum(B4:Z4)</f>
        <v/>
      </c>
      <c r="AA30" s="100">
        <f>sum(B4:AA4)</f>
        <v/>
      </c>
      <c r="AB30" s="100">
        <f>sum(B4:AB4)</f>
        <v/>
      </c>
      <c r="AC30" s="100">
        <f>sum(B4:AC4)</f>
        <v/>
      </c>
      <c r="AD30" s="100">
        <f>sum(B4:AD4)</f>
        <v/>
      </c>
      <c r="AE30" s="100">
        <f>sum(B4:AE4)</f>
        <v/>
      </c>
      <c r="AF30" s="100">
        <f>sum(B4:AF4)</f>
        <v/>
      </c>
      <c r="AG30" s="100">
        <f>sum(B4:AG4)</f>
        <v/>
      </c>
      <c r="AH30" s="100">
        <f>sum(B4:AH4)</f>
        <v/>
      </c>
      <c r="AI30" s="100">
        <f>sum(B4:AI4)</f>
        <v/>
      </c>
      <c r="AJ30" s="100">
        <f>sum(B4:AJ4)</f>
        <v/>
      </c>
      <c r="AK30" s="100">
        <f>sum(B4:AK4)</f>
        <v/>
      </c>
      <c r="AL30" s="100">
        <f>sum(B4:AL4)</f>
        <v/>
      </c>
      <c r="AM30" s="100">
        <f>sum(B4:AM4)</f>
        <v/>
      </c>
      <c r="AN30" s="100">
        <f>sum(B4:AN4)</f>
        <v/>
      </c>
      <c r="AO30" s="100">
        <f>sum(B4:AO4)</f>
        <v/>
      </c>
      <c r="AP30" s="100">
        <f>sum(B4:AP4)</f>
        <v/>
      </c>
      <c r="AQ30" s="100">
        <f>sum(B4:AQ4)</f>
        <v/>
      </c>
      <c r="AR30" s="100">
        <f>sum(B4:AR4)</f>
        <v/>
      </c>
      <c r="AS30" s="100">
        <f>sum(B4:AS4)</f>
        <v/>
      </c>
      <c r="AT30" s="100">
        <f>sum(B4:AT4)</f>
        <v/>
      </c>
      <c r="AU30" s="100">
        <f>sum(B4:AU4)</f>
        <v/>
      </c>
      <c r="AV30" s="100">
        <f>sum(B4:AV4)</f>
        <v/>
      </c>
      <c r="AW30" s="100">
        <f>sum(B4:AW4)</f>
        <v/>
      </c>
      <c r="AX30" s="100">
        <f>sum(B4:AX4)</f>
        <v/>
      </c>
      <c r="AY30" s="100">
        <f>sum(B4:AY4)</f>
        <v/>
      </c>
      <c r="AZ30" s="100">
        <f>sum(B4:AZ4)</f>
        <v/>
      </c>
      <c r="BA30" s="100">
        <f>sum(B4:BA4)</f>
        <v/>
      </c>
      <c r="BB30" s="100">
        <f>sum(B4:BB4)</f>
        <v/>
      </c>
      <c r="BC30" s="100">
        <f>sum(B4:BC4)</f>
        <v/>
      </c>
      <c r="BD30" s="100">
        <f>sum(B4:BD4)</f>
        <v/>
      </c>
      <c r="BE30" s="100">
        <f>sum(B4:BE4)</f>
        <v/>
      </c>
      <c r="BF30" s="100">
        <f>sum(B4:BF4)</f>
        <v/>
      </c>
      <c r="BG30" s="100">
        <f>sum(B4:BG4)</f>
        <v/>
      </c>
      <c r="BH30" s="100">
        <f>sum(B4:BH4)</f>
        <v/>
      </c>
      <c r="BI30" s="154">
        <f>sum(B4:BI4)</f>
        <v/>
      </c>
    </row>
    <row r="31">
      <c r="A31" s="38" t="inlineStr">
        <is>
          <t>Cumulative Authorized Resources (oz)</t>
        </is>
      </c>
      <c r="B31" s="123" t="n">
        <v>0</v>
      </c>
      <c r="C31" s="123" t="n">
        <v>0</v>
      </c>
      <c r="D31" s="123" t="n">
        <v>0</v>
      </c>
      <c r="E31" s="100" t="n">
        <v>0</v>
      </c>
      <c r="F31" s="100" t="n">
        <v>0</v>
      </c>
      <c r="G31" s="100">
        <f>sum(B5:G5)</f>
        <v/>
      </c>
      <c r="H31" s="100">
        <f>sum(B5:H5)</f>
        <v/>
      </c>
      <c r="I31" s="100">
        <f>sum(B5:I5)</f>
        <v/>
      </c>
      <c r="J31" s="100">
        <f>sum(B5:J5)</f>
        <v/>
      </c>
      <c r="K31" s="100">
        <f>sum(B5:K5)</f>
        <v/>
      </c>
      <c r="L31" s="100">
        <f>sum(B5:L5)</f>
        <v/>
      </c>
      <c r="M31" s="100">
        <f>sum(B5:M5)</f>
        <v/>
      </c>
      <c r="N31" s="100">
        <f>sum(M31,N5)</f>
        <v/>
      </c>
      <c r="O31" s="100">
        <f>sum(N31,O5)</f>
        <v/>
      </c>
      <c r="P31" s="100">
        <f>sum(O31,P5)</f>
        <v/>
      </c>
      <c r="Q31" s="100">
        <f>sum(P31,Q5)</f>
        <v/>
      </c>
      <c r="R31" s="100">
        <f>sum(Q31,R5)</f>
        <v/>
      </c>
      <c r="S31" s="100">
        <f>sum(R31,S5)</f>
        <v/>
      </c>
      <c r="T31" s="100">
        <f>sum(S31,T5)</f>
        <v/>
      </c>
      <c r="U31" s="100">
        <f>sum(T31,U5)</f>
        <v/>
      </c>
      <c r="V31" s="100">
        <f>sum(U31,V5)</f>
        <v/>
      </c>
      <c r="W31" s="100">
        <f>sum(V31,W5)</f>
        <v/>
      </c>
      <c r="X31" s="100">
        <f>sum(W31,X5)</f>
        <v/>
      </c>
      <c r="Y31" s="100">
        <f>sum(X31,Y5)</f>
        <v/>
      </c>
      <c r="Z31" s="100">
        <f>sum(Y31,Z5)</f>
        <v/>
      </c>
      <c r="AA31" s="100">
        <f>sum(Z31,AA5)</f>
        <v/>
      </c>
      <c r="AB31" s="100">
        <f>sum(AA31,AB5)</f>
        <v/>
      </c>
      <c r="AC31" s="100">
        <f>sum(AB31,AC5)</f>
        <v/>
      </c>
      <c r="AD31" s="100">
        <f>sum(AC31,AD5)</f>
        <v/>
      </c>
      <c r="AE31" s="100">
        <f>sum(AD31,AE5)</f>
        <v/>
      </c>
      <c r="AF31" s="100">
        <f>sum(AE31,AF5)</f>
        <v/>
      </c>
      <c r="AG31" s="100">
        <f>sum(AF31,AG5)</f>
        <v/>
      </c>
      <c r="AH31" s="100">
        <f>sum(AG31,AH5)</f>
        <v/>
      </c>
      <c r="AI31" s="100">
        <f>sum(AH31,AI5)</f>
        <v/>
      </c>
      <c r="AJ31" s="100">
        <f>sum(AI31,AJ5)</f>
        <v/>
      </c>
      <c r="AK31" s="100">
        <f>sum(AJ31,AK5)</f>
        <v/>
      </c>
      <c r="AL31" s="100">
        <f>sum(AK31,AL5)</f>
        <v/>
      </c>
      <c r="AM31" s="100">
        <f>sum(AL31,AM5)</f>
        <v/>
      </c>
      <c r="AN31" s="100">
        <f>sum(AM31,AN5)</f>
        <v/>
      </c>
      <c r="AO31" s="100">
        <f>sum(AN31,AO5)</f>
        <v/>
      </c>
      <c r="AP31" s="100">
        <f>sum(AO31,AP5)</f>
        <v/>
      </c>
      <c r="AQ31" s="100">
        <f>sum(AP31,AQ5)</f>
        <v/>
      </c>
      <c r="AR31" s="100">
        <f>sum(AQ31,AR5)</f>
        <v/>
      </c>
      <c r="AS31" s="100">
        <f>sum(AR31,AS5)</f>
        <v/>
      </c>
      <c r="AT31" s="100">
        <f>sum(AS31,AT5)</f>
        <v/>
      </c>
      <c r="AU31" s="100">
        <f>sum(AT31,AU5)</f>
        <v/>
      </c>
      <c r="AV31" s="100">
        <f>sum(AU31,AV5)</f>
        <v/>
      </c>
      <c r="AW31" s="100">
        <f>sum(AV31,AW5)</f>
        <v/>
      </c>
      <c r="AX31" s="100">
        <f>sum(AW31,AX5)</f>
        <v/>
      </c>
      <c r="AY31" s="100">
        <f>sum(AX31,AY5)</f>
        <v/>
      </c>
      <c r="AZ31" s="100">
        <f>sum(AY31,AZ5)</f>
        <v/>
      </c>
      <c r="BA31" s="100">
        <f>sum(AZ31,BA5)</f>
        <v/>
      </c>
      <c r="BB31" s="100">
        <f>sum(BA31,BB5)</f>
        <v/>
      </c>
      <c r="BC31" s="100">
        <f>sum(BB31,BC5)</f>
        <v/>
      </c>
      <c r="BD31" s="100">
        <f>sum(BC31,BD5)</f>
        <v/>
      </c>
      <c r="BE31" s="100">
        <f>sum(BD31,BE5)</f>
        <v/>
      </c>
      <c r="BF31" s="100">
        <f>sum(BE31,BF5)</f>
        <v/>
      </c>
      <c r="BG31" s="100">
        <f>sum(BF31,BG5)</f>
        <v/>
      </c>
      <c r="BH31" s="100">
        <f>sum(BG31,BH5)</f>
        <v/>
      </c>
      <c r="BI31" s="154">
        <f>sum(BH31,BI5)</f>
        <v/>
      </c>
    </row>
    <row r="32">
      <c r="A32" s="38" t="inlineStr">
        <is>
          <t>Cumulative Releaseable Resources (oz)</t>
        </is>
      </c>
      <c r="B32" s="123" t="n">
        <v>0</v>
      </c>
      <c r="C32" s="123" t="n">
        <v>0</v>
      </c>
      <c r="D32" s="123" t="n">
        <v>0</v>
      </c>
      <c r="E32" s="100" t="n">
        <v>0</v>
      </c>
      <c r="F32" s="100" t="n">
        <v>0</v>
      </c>
      <c r="G32" s="100">
        <f>sum(B6:G6)/2</f>
        <v/>
      </c>
      <c r="H32" s="100">
        <f>sum(B6:H6)/2</f>
        <v/>
      </c>
      <c r="I32" s="100">
        <f>sum(B6:I6)/2</f>
        <v/>
      </c>
      <c r="J32" s="100">
        <f>sum(B6:J6)</f>
        <v/>
      </c>
      <c r="K32" s="100">
        <f>sum(B6:K6)</f>
        <v/>
      </c>
      <c r="L32" s="100">
        <f>sum(B6:L6)</f>
        <v/>
      </c>
      <c r="M32" s="100">
        <f>sum(B6:M6)</f>
        <v/>
      </c>
      <c r="N32" s="100">
        <f>sum(B6:N6)</f>
        <v/>
      </c>
      <c r="O32" s="100">
        <f>sum(B6:O6)</f>
        <v/>
      </c>
      <c r="P32" s="100">
        <f>sum(B6:P6)</f>
        <v/>
      </c>
      <c r="Q32" s="100">
        <f>sum(B6:Q6)</f>
        <v/>
      </c>
      <c r="R32" s="100">
        <f>sum(B6:R6)</f>
        <v/>
      </c>
      <c r="S32" s="100">
        <f>sum(B6:S6)</f>
        <v/>
      </c>
      <c r="T32" s="100">
        <f>sum(B6:T6)</f>
        <v/>
      </c>
      <c r="U32" s="100">
        <f>sum(B6:U6)</f>
        <v/>
      </c>
      <c r="V32" s="100">
        <f>sum(B6:V6)</f>
        <v/>
      </c>
      <c r="W32" s="100">
        <f>sum(B6:W6)</f>
        <v/>
      </c>
      <c r="X32" s="100">
        <f>sum(B6:X6)</f>
        <v/>
      </c>
      <c r="Y32" s="100">
        <f>sum(B6:Y6)</f>
        <v/>
      </c>
      <c r="Z32" s="100">
        <f>sum(B6:Z6)</f>
        <v/>
      </c>
      <c r="AA32" s="100">
        <f>sum(B6:AA6)</f>
        <v/>
      </c>
      <c r="AB32" s="100">
        <f>sum(B6:AB6)</f>
        <v/>
      </c>
      <c r="AC32" s="100">
        <f>sum(B6:AC6)</f>
        <v/>
      </c>
      <c r="AD32" s="100">
        <f>sum(B6:AD6)</f>
        <v/>
      </c>
      <c r="AE32" s="100">
        <f>sum(B6:AE6)</f>
        <v/>
      </c>
      <c r="AF32" s="100">
        <f>sum(B6:AF6)</f>
        <v/>
      </c>
      <c r="AG32" s="100">
        <f>sum(B6:AG6)</f>
        <v/>
      </c>
      <c r="AH32" s="100">
        <f>sum(B6:AH6)</f>
        <v/>
      </c>
      <c r="AI32" s="100">
        <f>sum(B6:AI6)</f>
        <v/>
      </c>
      <c r="AJ32" s="100">
        <f>sum(B6:AJ6)</f>
        <v/>
      </c>
      <c r="AK32" s="100">
        <f>sum(B6:AK6)</f>
        <v/>
      </c>
      <c r="AL32" s="100">
        <f>sum(B6:AL6)</f>
        <v/>
      </c>
      <c r="AM32" s="100">
        <f>sum(B6:AM6)</f>
        <v/>
      </c>
      <c r="AN32" s="100">
        <f>sum(B6:AN6)</f>
        <v/>
      </c>
      <c r="AO32" s="100">
        <f>sum(B6:AO6)</f>
        <v/>
      </c>
      <c r="AP32" s="100">
        <f>sum(B6:AP6)</f>
        <v/>
      </c>
      <c r="AQ32" s="100">
        <f>sum(B6:AQ6)</f>
        <v/>
      </c>
      <c r="AR32" s="100">
        <f>sum(B6:AR6)</f>
        <v/>
      </c>
      <c r="AS32" s="100">
        <f>sum(B6:AS6)</f>
        <v/>
      </c>
      <c r="AT32" s="100">
        <f>sum(B6:AT6)</f>
        <v/>
      </c>
      <c r="AU32" s="100">
        <f>sum(B6:AU6)</f>
        <v/>
      </c>
      <c r="AV32" s="100">
        <f>sum(B6:AV6)</f>
        <v/>
      </c>
      <c r="AW32" s="100">
        <f>sum(B6:AW6)</f>
        <v/>
      </c>
      <c r="AX32" s="100">
        <f>sum(B6:AX6)</f>
        <v/>
      </c>
      <c r="AY32" s="100">
        <f>sum(B6:AY6)</f>
        <v/>
      </c>
      <c r="AZ32" s="100">
        <f>sum(B6:AZ6)</f>
        <v/>
      </c>
      <c r="BA32" s="100">
        <f>sum(B6:BA6)</f>
        <v/>
      </c>
      <c r="BB32" s="100">
        <f>sum(B6:BB6)</f>
        <v/>
      </c>
      <c r="BC32" s="100">
        <f>sum(B6:BC6)</f>
        <v/>
      </c>
      <c r="BD32" s="100">
        <f>sum(B6:BD6)</f>
        <v/>
      </c>
      <c r="BE32" s="100">
        <f>sum(B6:BE6)</f>
        <v/>
      </c>
      <c r="BF32" s="100">
        <f>sum(B6:BF6)</f>
        <v/>
      </c>
      <c r="BG32" s="100">
        <f>sum(B6:BG6)</f>
        <v/>
      </c>
      <c r="BH32" s="100">
        <f>sum(B6:BH6)</f>
        <v/>
      </c>
      <c r="BI32" s="154">
        <f>sum(B6:BI6)</f>
        <v/>
      </c>
    </row>
    <row r="33">
      <c r="A33" s="38" t="inlineStr">
        <is>
          <t>Cumulative Unlocked to Markets (oz)</t>
        </is>
      </c>
      <c r="B33" s="299" t="n">
        <v>0</v>
      </c>
      <c r="C33" s="299" t="n">
        <v>0</v>
      </c>
      <c r="D33" s="299" t="n">
        <v>0</v>
      </c>
      <c r="E33" s="117" t="n">
        <v>0</v>
      </c>
      <c r="F33" s="117" t="n">
        <v>0</v>
      </c>
      <c r="G33" s="146">
        <f>sum(G7:G8)/2</f>
        <v/>
      </c>
      <c r="H33" s="146">
        <f>sum(G7:H8)/2</f>
        <v/>
      </c>
      <c r="I33" s="146">
        <f>sum(G7:I8)/2</f>
        <v/>
      </c>
      <c r="J33" s="146">
        <f>sum(G7:J8)/2</f>
        <v/>
      </c>
      <c r="K33" s="146">
        <f>sum(G7:K8)</f>
        <v/>
      </c>
      <c r="L33" s="146">
        <f>sum(G7:L8)</f>
        <v/>
      </c>
      <c r="M33" s="146">
        <f>sum(G7:M8)</f>
        <v/>
      </c>
      <c r="N33" s="146">
        <f>sum(G7:N8)</f>
        <v/>
      </c>
      <c r="O33" s="146">
        <f>sum(G7:O8)</f>
        <v/>
      </c>
      <c r="P33" s="146">
        <f>sum(G7:P8)</f>
        <v/>
      </c>
      <c r="Q33" s="146">
        <f>sum(G7:Q8)</f>
        <v/>
      </c>
      <c r="R33" s="146">
        <f>sum(G7:R8)</f>
        <v/>
      </c>
      <c r="S33" s="146">
        <f>sum(G7:S8)</f>
        <v/>
      </c>
      <c r="T33" s="146">
        <f>sum(B7:T8)</f>
        <v/>
      </c>
      <c r="U33" s="146">
        <f>sum(G7:U8)</f>
        <v/>
      </c>
      <c r="V33" s="146">
        <f>sum(G7:V8)</f>
        <v/>
      </c>
      <c r="W33" s="146">
        <f>sum(G7:W8)</f>
        <v/>
      </c>
      <c r="X33" s="146">
        <f>sum(G7:X8)</f>
        <v/>
      </c>
      <c r="Y33" s="146">
        <f>sum(G7:Y8)</f>
        <v/>
      </c>
      <c r="Z33" s="146">
        <f>sum(G7:Z8)</f>
        <v/>
      </c>
      <c r="AA33" s="146">
        <f>sum(G7:AA8)</f>
        <v/>
      </c>
      <c r="AB33" s="146">
        <f>sum(G7:AB8)</f>
        <v/>
      </c>
      <c r="AC33" s="146">
        <f>sum(G7:AC8)</f>
        <v/>
      </c>
      <c r="AD33" s="146">
        <f>sum(G7:AD8)</f>
        <v/>
      </c>
      <c r="AE33" s="146">
        <f>sum(G7:AE8)</f>
        <v/>
      </c>
      <c r="AF33" s="146">
        <f>sum(G7:AF8)</f>
        <v/>
      </c>
      <c r="AG33" s="146">
        <f>sum(G7:AG8)</f>
        <v/>
      </c>
      <c r="AH33" s="146">
        <f>sum(G7:AH8)</f>
        <v/>
      </c>
      <c r="AI33" s="146">
        <f>sum(G7:AI8)</f>
        <v/>
      </c>
      <c r="AJ33" s="146">
        <f>sum(G7:AJ8)</f>
        <v/>
      </c>
      <c r="AK33" s="146">
        <f>sum(G7:AK8)</f>
        <v/>
      </c>
      <c r="AL33" s="146">
        <f>sum(G7:AL8)</f>
        <v/>
      </c>
      <c r="AM33" s="146">
        <f>sum(G7:AM8)</f>
        <v/>
      </c>
      <c r="AN33" s="146">
        <f>sum(G7:AN8)</f>
        <v/>
      </c>
      <c r="AO33" s="146">
        <f>sum(G7:AO8)</f>
        <v/>
      </c>
      <c r="AP33" s="146">
        <f>sum(G7:AP8)</f>
        <v/>
      </c>
      <c r="AQ33" s="146">
        <f>sum(G7:AQ8)</f>
        <v/>
      </c>
      <c r="AR33" s="146">
        <f>sum(G7:AR8)</f>
        <v/>
      </c>
      <c r="AS33" s="146">
        <f>sum(G7:AS8)</f>
        <v/>
      </c>
      <c r="AT33" s="146">
        <f>sum(G7:AT8)</f>
        <v/>
      </c>
      <c r="AU33" s="146">
        <f>sum(G7:AU8)</f>
        <v/>
      </c>
      <c r="AV33" s="146">
        <f>sum(G7:AV8)</f>
        <v/>
      </c>
      <c r="AW33" s="146">
        <f>sum(G7:AW8)</f>
        <v/>
      </c>
      <c r="AX33" s="146">
        <f>sum(G7:AX8)</f>
        <v/>
      </c>
      <c r="AY33" s="146">
        <f>sum(G7:AY8)</f>
        <v/>
      </c>
      <c r="AZ33" s="146">
        <f>sum(G7:AZ8)</f>
        <v/>
      </c>
      <c r="BA33" s="146">
        <f>sum(G7:BA8)</f>
        <v/>
      </c>
      <c r="BB33" s="146">
        <f>sum(G7:BB8)</f>
        <v/>
      </c>
      <c r="BC33" s="146">
        <f>sum(G7:BC8)</f>
        <v/>
      </c>
      <c r="BD33" s="146">
        <f>sum(G7:BD8)</f>
        <v/>
      </c>
      <c r="BE33" s="146">
        <f>sum(G7:BE8)</f>
        <v/>
      </c>
      <c r="BF33" s="146">
        <f>sum(G7:BF8)</f>
        <v/>
      </c>
      <c r="BG33" s="146">
        <f>sum(G7:BG8)</f>
        <v/>
      </c>
      <c r="BH33" s="146">
        <f>sum(G7:BH8)</f>
        <v/>
      </c>
      <c r="BI33" s="147">
        <f>sum(G7:BI8)</f>
        <v/>
      </c>
    </row>
    <row r="34">
      <c r="A34" s="38" t="inlineStr">
        <is>
          <t>Cumulative Allocation to RealGold Treasury (oz)</t>
        </is>
      </c>
      <c r="B34" s="299" t="n">
        <v>0</v>
      </c>
      <c r="C34" s="299" t="n">
        <v>0</v>
      </c>
      <c r="D34" s="299" t="n">
        <v>0</v>
      </c>
      <c r="E34" s="117" t="n">
        <v>0</v>
      </c>
      <c r="F34" s="117" t="n">
        <v>0</v>
      </c>
      <c r="G34" s="146">
        <f>sum(B16:G16)</f>
        <v/>
      </c>
      <c r="H34" s="146">
        <f>sum(B16:H16)</f>
        <v/>
      </c>
      <c r="I34" s="146">
        <f>sum(B16:I16)</f>
        <v/>
      </c>
      <c r="J34" s="146">
        <f>sum(B16:J16)</f>
        <v/>
      </c>
      <c r="K34" s="146">
        <f>sum(B16:K16)</f>
        <v/>
      </c>
      <c r="L34" s="146">
        <f>sum(B16:L16)</f>
        <v/>
      </c>
      <c r="M34" s="146">
        <f>sum(B16:M16)</f>
        <v/>
      </c>
      <c r="N34" s="146">
        <f>sum(B16:N16)</f>
        <v/>
      </c>
      <c r="O34" s="146">
        <f>sum(B16:O16)</f>
        <v/>
      </c>
      <c r="P34" s="146">
        <f>sum(B16:P16)</f>
        <v/>
      </c>
      <c r="Q34" s="146">
        <f>sum(B16:Q16)</f>
        <v/>
      </c>
      <c r="R34" s="146">
        <f>sum(B16:R16)</f>
        <v/>
      </c>
      <c r="S34" s="146">
        <f>sum(B16:S16)</f>
        <v/>
      </c>
      <c r="T34" s="146">
        <f>sum(B16:T16)</f>
        <v/>
      </c>
      <c r="U34" s="146">
        <f>sum(B16:U16)</f>
        <v/>
      </c>
      <c r="V34" s="146">
        <f>sum(B16:V16)</f>
        <v/>
      </c>
      <c r="W34" s="146">
        <f>sum(B16:W16)</f>
        <v/>
      </c>
      <c r="X34" s="146">
        <f>sum(B16:X16)</f>
        <v/>
      </c>
      <c r="Y34" s="146">
        <f>sum(B16:Y16)</f>
        <v/>
      </c>
      <c r="Z34" s="146">
        <f>sum(B16:Z16)</f>
        <v/>
      </c>
      <c r="AA34" s="146">
        <f>sum(B16:AA16)</f>
        <v/>
      </c>
      <c r="AB34" s="146">
        <f>sum(B16:AB16)</f>
        <v/>
      </c>
      <c r="AC34" s="146">
        <f>sum(B16:AC16)</f>
        <v/>
      </c>
      <c r="AD34" s="146">
        <f>sum(B16:AD16)</f>
        <v/>
      </c>
      <c r="AE34" s="146">
        <f>sum(B16:AE16)</f>
        <v/>
      </c>
      <c r="AF34" s="146">
        <f>sum(B16:AF16)</f>
        <v/>
      </c>
      <c r="AG34" s="146">
        <f>sum(B16:AG16)</f>
        <v/>
      </c>
      <c r="AH34" s="146">
        <f>sum(B16:AH16)</f>
        <v/>
      </c>
      <c r="AI34" s="146">
        <f>sum(B16:AI16)</f>
        <v/>
      </c>
      <c r="AJ34" s="146">
        <f>sum(B16:AJ16)</f>
        <v/>
      </c>
      <c r="AK34" s="146">
        <f>sum(B16:AK16)</f>
        <v/>
      </c>
      <c r="AL34" s="146">
        <f>sum(B16:AL16)</f>
        <v/>
      </c>
      <c r="AM34" s="146">
        <f>sum(B16:AM16)</f>
        <v/>
      </c>
      <c r="AN34" s="146">
        <f>sum(B16:AN16)</f>
        <v/>
      </c>
      <c r="AO34" s="146">
        <f>sum(B16:AO16)</f>
        <v/>
      </c>
      <c r="AP34" s="146">
        <f>sum(B16:AP16)</f>
        <v/>
      </c>
      <c r="AQ34" s="146">
        <f>sum(B16:AQ16)</f>
        <v/>
      </c>
      <c r="AR34" s="146">
        <f>sum(B16:AR16)</f>
        <v/>
      </c>
      <c r="AS34" s="146">
        <f>sum(B16:AS16)</f>
        <v/>
      </c>
      <c r="AT34" s="146">
        <f>sum(B16:AT16)</f>
        <v/>
      </c>
      <c r="AU34" s="146">
        <f>sum(B16:AU16)</f>
        <v/>
      </c>
      <c r="AV34" s="146">
        <f>sum(B16:AV16)</f>
        <v/>
      </c>
      <c r="AW34" s="146">
        <f>sum(B16:AW16)</f>
        <v/>
      </c>
      <c r="AX34" s="146">
        <f>sum(B16:AX16)</f>
        <v/>
      </c>
      <c r="AY34" s="146">
        <f>sum(B16:AY16)</f>
        <v/>
      </c>
      <c r="AZ34" s="146">
        <f>sum(B16:AZ16)</f>
        <v/>
      </c>
      <c r="BA34" s="146">
        <f>sum(B16:BA16)</f>
        <v/>
      </c>
      <c r="BB34" s="146">
        <f>sum(B16:BB16)</f>
        <v/>
      </c>
      <c r="BC34" s="146">
        <f>sum(B16:BC16)</f>
        <v/>
      </c>
      <c r="BD34" s="146">
        <f>sum(B16:BD16)</f>
        <v/>
      </c>
      <c r="BE34" s="146">
        <f>sum(B16:BE16)</f>
        <v/>
      </c>
      <c r="BF34" s="146">
        <f>sum(B16:BF16)</f>
        <v/>
      </c>
      <c r="BG34" s="146">
        <f>sum(B16:BG16)</f>
        <v/>
      </c>
      <c r="BH34" s="146">
        <f>sum(B16:BH16)</f>
        <v/>
      </c>
      <c r="BI34" s="147">
        <f>sum(B16:BI16)</f>
        <v/>
      </c>
    </row>
    <row r="35">
      <c r="A35" s="14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c r="AA35" s="128" t="n"/>
      <c r="AB35" s="128" t="n"/>
      <c r="AC35" s="128" t="n"/>
      <c r="AD35" s="128" t="n"/>
      <c r="AE35" s="128" t="n"/>
      <c r="AF35" s="128" t="n"/>
      <c r="AG35" s="128" t="n"/>
      <c r="AH35" s="128" t="n"/>
      <c r="AI35" s="128" t="n"/>
      <c r="AJ35" s="128" t="n"/>
      <c r="AK35" s="128" t="n"/>
      <c r="AL35" s="128" t="n"/>
      <c r="AM35" s="128" t="n"/>
      <c r="AN35" s="128" t="n"/>
      <c r="AO35" s="128" t="n"/>
      <c r="AP35" s="128" t="n"/>
      <c r="AQ35" s="128" t="n"/>
      <c r="AR35" s="128" t="n"/>
      <c r="AS35" s="128" t="n"/>
      <c r="AT35" s="128" t="n"/>
      <c r="AU35" s="128" t="n"/>
      <c r="AV35" s="128" t="n"/>
      <c r="AW35" s="128" t="n"/>
      <c r="AX35" s="128" t="n"/>
      <c r="AY35" s="128" t="n"/>
      <c r="AZ35" s="128" t="n"/>
      <c r="BA35" s="128" t="n"/>
      <c r="BB35" s="128" t="n"/>
      <c r="BC35" s="128" t="n"/>
      <c r="BD35" s="128" t="n"/>
      <c r="BE35" s="128" t="n"/>
      <c r="BF35" s="128" t="n"/>
      <c r="BG35" s="128" t="n"/>
      <c r="BH35" s="128" t="n"/>
      <c r="BI35" s="132" t="n"/>
    </row>
    <row r="36">
      <c r="A36" s="38" t="inlineStr">
        <is>
          <t>Cumulative Registered Resources ($)</t>
        </is>
      </c>
      <c r="B36" s="299" t="n">
        <v>0</v>
      </c>
      <c r="C36" s="299" t="n">
        <v>0</v>
      </c>
      <c r="D36" s="299" t="n">
        <v>0</v>
      </c>
      <c r="E36" s="117" t="n">
        <v>0</v>
      </c>
      <c r="F36" s="117" t="n">
        <v>0</v>
      </c>
      <c r="G36" s="133">
        <f>G18</f>
        <v/>
      </c>
      <c r="H36" s="133">
        <f>sum(B18:H18)</f>
        <v/>
      </c>
      <c r="I36" s="133">
        <f>sum(B18:I18)</f>
        <v/>
      </c>
      <c r="J36" s="133">
        <f>sum(B18:J18)</f>
        <v/>
      </c>
      <c r="K36" s="133">
        <f>sum(B18:K18)</f>
        <v/>
      </c>
      <c r="L36" s="133">
        <f>sum(B18:L18)</f>
        <v/>
      </c>
      <c r="M36" s="133">
        <f>sum(B18:M18)</f>
        <v/>
      </c>
      <c r="N36" s="133">
        <f>sum(B18:N18)</f>
        <v/>
      </c>
      <c r="O36" s="133">
        <f>sum(B18:O18)</f>
        <v/>
      </c>
      <c r="P36" s="133">
        <f>sum(B18:P18)</f>
        <v/>
      </c>
      <c r="Q36" s="133">
        <f>sum(B18:Q18)</f>
        <v/>
      </c>
      <c r="R36" s="133">
        <f>sum(B18:R18)</f>
        <v/>
      </c>
      <c r="S36" s="133">
        <f>sum(B18:S18)</f>
        <v/>
      </c>
      <c r="T36" s="133">
        <f>sum(B18:T18)</f>
        <v/>
      </c>
      <c r="U36" s="133">
        <f>sum(B18:U18)</f>
        <v/>
      </c>
      <c r="V36" s="133">
        <f>sum(B18:V18)</f>
        <v/>
      </c>
      <c r="W36" s="133">
        <f>sum(B18:W18)</f>
        <v/>
      </c>
      <c r="X36" s="133">
        <f>sum(B18:X18)</f>
        <v/>
      </c>
      <c r="Y36" s="133">
        <f>sum(B18:Y18)</f>
        <v/>
      </c>
      <c r="Z36" s="133">
        <f>sum(B18:Z18)</f>
        <v/>
      </c>
      <c r="AA36" s="133">
        <f>sum(B18:AA18)</f>
        <v/>
      </c>
      <c r="AB36" s="133">
        <f>sum(B18:AB18)</f>
        <v/>
      </c>
      <c r="AC36" s="133">
        <f>sum(B18:AC18)</f>
        <v/>
      </c>
      <c r="AD36" s="133">
        <f>sum(B18:AD18)</f>
        <v/>
      </c>
      <c r="AE36" s="133">
        <f>sum(B18:AE18)</f>
        <v/>
      </c>
      <c r="AF36" s="133">
        <f>sum(B18:AF18)</f>
        <v/>
      </c>
      <c r="AG36" s="133">
        <f>sum(B18:AG18)</f>
        <v/>
      </c>
      <c r="AH36" s="133">
        <f>sum(B18:AH18)</f>
        <v/>
      </c>
      <c r="AI36" s="133">
        <f>sum(B18:AI18)</f>
        <v/>
      </c>
      <c r="AJ36" s="133">
        <f>sum(B18:AJ18)</f>
        <v/>
      </c>
      <c r="AK36" s="133">
        <f>sum(B18:AK18)</f>
        <v/>
      </c>
      <c r="AL36" s="133">
        <f>sum(B18:AL18)</f>
        <v/>
      </c>
      <c r="AM36" s="133">
        <f>sum(B18:AM18)</f>
        <v/>
      </c>
      <c r="AN36" s="133">
        <f>sum(B18:AN18)</f>
        <v/>
      </c>
      <c r="AO36" s="133">
        <f>sum(B18:AO18)</f>
        <v/>
      </c>
      <c r="AP36" s="133">
        <f>sum(B18:AP18)</f>
        <v/>
      </c>
      <c r="AQ36" s="133">
        <f>sum(B18:AQ18)</f>
        <v/>
      </c>
      <c r="AR36" s="133">
        <f>sum(B18:AR18)</f>
        <v/>
      </c>
      <c r="AS36" s="133">
        <f>sum(B18:AS18)</f>
        <v/>
      </c>
      <c r="AT36" s="133">
        <f>sum(B18:AT18)</f>
        <v/>
      </c>
      <c r="AU36" s="133">
        <f>sum(B18:AU18)</f>
        <v/>
      </c>
      <c r="AV36" s="133">
        <f>sum(B18:AV18)</f>
        <v/>
      </c>
      <c r="AW36" s="133">
        <f>sum(B18:AW18)</f>
        <v/>
      </c>
      <c r="AX36" s="133">
        <f>sum(B18:AX18)</f>
        <v/>
      </c>
      <c r="AY36" s="133">
        <f>sum(B18:AY18)</f>
        <v/>
      </c>
      <c r="AZ36" s="133">
        <f>sum(B18:AZ18)</f>
        <v/>
      </c>
      <c r="BA36" s="133">
        <f>sum(B18:BA18)</f>
        <v/>
      </c>
      <c r="BB36" s="133">
        <f>sum(B18:BB18)</f>
        <v/>
      </c>
      <c r="BC36" s="133">
        <f>sum(B18:BC18)</f>
        <v/>
      </c>
      <c r="BD36" s="133">
        <f>sum(B18:BD18)</f>
        <v/>
      </c>
      <c r="BE36" s="133">
        <f>sum(B18:BE18)</f>
        <v/>
      </c>
      <c r="BF36" s="133">
        <f>sum(B18:BF18)</f>
        <v/>
      </c>
      <c r="BG36" s="133">
        <f>sum(B18:BG18)</f>
        <v/>
      </c>
      <c r="BH36" s="133">
        <f>sum(B18:BH18)</f>
        <v/>
      </c>
      <c r="BI36" s="135">
        <f>sum(B18:BI18)</f>
        <v/>
      </c>
    </row>
    <row r="37">
      <c r="A37" s="38" t="inlineStr">
        <is>
          <t>Cumulative Authorized Resources ($)</t>
        </is>
      </c>
      <c r="B37" s="299" t="n">
        <v>0</v>
      </c>
      <c r="C37" s="299" t="n">
        <v>0</v>
      </c>
      <c r="D37" s="299" t="n">
        <v>0</v>
      </c>
      <c r="E37" s="117" t="n">
        <v>0</v>
      </c>
      <c r="F37" s="117" t="n">
        <v>0</v>
      </c>
      <c r="G37" s="133">
        <f>sum(B19:G19)</f>
        <v/>
      </c>
      <c r="H37" s="133">
        <f>sum(C19:H19)</f>
        <v/>
      </c>
      <c r="I37" s="133">
        <f>sum(D19:I19)</f>
        <v/>
      </c>
      <c r="J37" s="133">
        <f>sum(E19:J19)</f>
        <v/>
      </c>
      <c r="K37" s="133">
        <f>sum(B19:K19)</f>
        <v/>
      </c>
      <c r="L37" s="133">
        <f>sum(B19:L19)</f>
        <v/>
      </c>
      <c r="M37" s="133">
        <f>sum(B19:M19)</f>
        <v/>
      </c>
      <c r="N37" s="133">
        <f>sum(B19:N19)</f>
        <v/>
      </c>
      <c r="O37" s="133">
        <f>sum(B19:O19)</f>
        <v/>
      </c>
      <c r="P37" s="133">
        <f>sum(B19:P19)</f>
        <v/>
      </c>
      <c r="Q37" s="133">
        <f>sum(B19:Q19)</f>
        <v/>
      </c>
      <c r="R37" s="133">
        <f>sum(B19:R19)</f>
        <v/>
      </c>
      <c r="S37" s="133">
        <f>sum(B19:S19)</f>
        <v/>
      </c>
      <c r="T37" s="133">
        <f>sum(B19:T19)</f>
        <v/>
      </c>
      <c r="U37" s="133">
        <f>sum(B19:U19)</f>
        <v/>
      </c>
      <c r="V37" s="133">
        <f>sum(B19:V19)</f>
        <v/>
      </c>
      <c r="W37" s="133">
        <f>sum(B19:W19)</f>
        <v/>
      </c>
      <c r="X37" s="133">
        <f>sum(B19:X19)</f>
        <v/>
      </c>
      <c r="Y37" s="133">
        <f>sum(B19:Y19)</f>
        <v/>
      </c>
      <c r="Z37" s="133">
        <f>sum(B19:Z19)</f>
        <v/>
      </c>
      <c r="AA37" s="133">
        <f>sum(B19:AA19)</f>
        <v/>
      </c>
      <c r="AB37" s="133">
        <f>sum(B19:AB19)</f>
        <v/>
      </c>
      <c r="AC37" s="133">
        <f>sum(B19:AC19)</f>
        <v/>
      </c>
      <c r="AD37" s="133">
        <f>sum(B19:AD19)</f>
        <v/>
      </c>
      <c r="AE37" s="133">
        <f>sum(B19:AE19)</f>
        <v/>
      </c>
      <c r="AF37" s="133">
        <f>sum(B19:AF19)</f>
        <v/>
      </c>
      <c r="AG37" s="133">
        <f>sum(B19:AG19)</f>
        <v/>
      </c>
      <c r="AH37" s="133">
        <f>sum(B19:AH19)</f>
        <v/>
      </c>
      <c r="AI37" s="133">
        <f>sum(B19:AI19)</f>
        <v/>
      </c>
      <c r="AJ37" s="133">
        <f>sum(B19:AJ19)</f>
        <v/>
      </c>
      <c r="AK37" s="133">
        <f>sum(B19:AK19)</f>
        <v/>
      </c>
      <c r="AL37" s="133">
        <f>sum(B19:AL19)</f>
        <v/>
      </c>
      <c r="AM37" s="133">
        <f>sum(B19:AM19)</f>
        <v/>
      </c>
      <c r="AN37" s="133">
        <f>sum(B19:AN19)</f>
        <v/>
      </c>
      <c r="AO37" s="133">
        <f>sum(B19:AO19)</f>
        <v/>
      </c>
      <c r="AP37" s="133">
        <f>sum(B19:AP19)</f>
        <v/>
      </c>
      <c r="AQ37" s="133">
        <f>sum(B19:AQ19)</f>
        <v/>
      </c>
      <c r="AR37" s="133">
        <f>sum(B19:AR19)</f>
        <v/>
      </c>
      <c r="AS37" s="133">
        <f>sum(B19:AS19)</f>
        <v/>
      </c>
      <c r="AT37" s="133">
        <f>sum(B19:AT19)</f>
        <v/>
      </c>
      <c r="AU37" s="133">
        <f>sum(B19:AU19)</f>
        <v/>
      </c>
      <c r="AV37" s="133">
        <f>sum(B19:AV19)</f>
        <v/>
      </c>
      <c r="AW37" s="133">
        <f>sum(B19:AW19)</f>
        <v/>
      </c>
      <c r="AX37" s="133">
        <f>sum(B19:AX19)</f>
        <v/>
      </c>
      <c r="AY37" s="133">
        <f>sum(B19:AY19)</f>
        <v/>
      </c>
      <c r="AZ37" s="133">
        <f>sum(B19:AZ19)</f>
        <v/>
      </c>
      <c r="BA37" s="133">
        <f>sum(B19:BA19)</f>
        <v/>
      </c>
      <c r="BB37" s="133">
        <f>sum(B19:BB19)</f>
        <v/>
      </c>
      <c r="BC37" s="133">
        <f>sum(B19:BC19)</f>
        <v/>
      </c>
      <c r="BD37" s="133">
        <f>sum(B19:BD19)</f>
        <v/>
      </c>
      <c r="BE37" s="133">
        <f>sum(B19:BE19)</f>
        <v/>
      </c>
      <c r="BF37" s="133">
        <f>sum(B19:BF19)</f>
        <v/>
      </c>
      <c r="BG37" s="133">
        <f>sum(B19:BG19)</f>
        <v/>
      </c>
      <c r="BH37" s="133">
        <f>sum(B19:BH19)</f>
        <v/>
      </c>
      <c r="BI37" s="135">
        <f>sum(B19:BI19)</f>
        <v/>
      </c>
    </row>
    <row r="38">
      <c r="A38" s="38" t="inlineStr">
        <is>
          <t>Cumulative Releasable Resources ($)</t>
        </is>
      </c>
      <c r="B38" s="299" t="n">
        <v>0</v>
      </c>
      <c r="C38" s="299" t="n">
        <v>0</v>
      </c>
      <c r="D38" s="299" t="n">
        <v>0</v>
      </c>
      <c r="E38" s="117" t="n">
        <v>0</v>
      </c>
      <c r="F38" s="117" t="n">
        <v>0</v>
      </c>
      <c r="G38" s="133">
        <f>sum(B20:G20)</f>
        <v/>
      </c>
      <c r="H38" s="133">
        <f>sum(C20:H20)</f>
        <v/>
      </c>
      <c r="I38" s="133">
        <f>sum(D20:I20)</f>
        <v/>
      </c>
      <c r="J38" s="133">
        <f>sum(E20:J20)</f>
        <v/>
      </c>
      <c r="K38" s="133">
        <f>sum(B20:K20)</f>
        <v/>
      </c>
      <c r="L38" s="133">
        <f>sum(B20:L20)</f>
        <v/>
      </c>
      <c r="M38" s="133">
        <f>sum(B20:M20)</f>
        <v/>
      </c>
      <c r="N38" s="133">
        <f>sum(B20:N20)</f>
        <v/>
      </c>
      <c r="O38" s="133">
        <f>sum(B20:O20)</f>
        <v/>
      </c>
      <c r="P38" s="133">
        <f>sum(B20:P20)</f>
        <v/>
      </c>
      <c r="Q38" s="133">
        <f>sum(B20:Q20)</f>
        <v/>
      </c>
      <c r="R38" s="133">
        <f>sum(B20:R20)</f>
        <v/>
      </c>
      <c r="S38" s="133">
        <f>sum(B20:S20)</f>
        <v/>
      </c>
      <c r="T38" s="133">
        <f>sum(B20:T20)</f>
        <v/>
      </c>
      <c r="U38" s="133">
        <f>sum(B20:U20)</f>
        <v/>
      </c>
      <c r="V38" s="133">
        <f>sum(B20:V20)</f>
        <v/>
      </c>
      <c r="W38" s="133">
        <f>sum(B20:W20)</f>
        <v/>
      </c>
      <c r="X38" s="133">
        <f>sum(B20:X20)</f>
        <v/>
      </c>
      <c r="Y38" s="133">
        <f>sum(B20:Y20)</f>
        <v/>
      </c>
      <c r="Z38" s="133">
        <f>sum(B20:Z20)</f>
        <v/>
      </c>
      <c r="AA38" s="133">
        <f>sum(B20:AA20)</f>
        <v/>
      </c>
      <c r="AB38" s="133">
        <f>sum(B20:AB20)</f>
        <v/>
      </c>
      <c r="AC38" s="133">
        <f>sum(B20:AC20)</f>
        <v/>
      </c>
      <c r="AD38" s="133">
        <f>sum(B20:AD20)</f>
        <v/>
      </c>
      <c r="AE38" s="133">
        <f>sum(B20:AE20)</f>
        <v/>
      </c>
      <c r="AF38" s="133">
        <f>sum(B20:AF20)</f>
        <v/>
      </c>
      <c r="AG38" s="133">
        <f>sum(B20:AG20)</f>
        <v/>
      </c>
      <c r="AH38" s="133">
        <f>sum(B20:AH20)</f>
        <v/>
      </c>
      <c r="AI38" s="133">
        <f>sum(B20:AI20)</f>
        <v/>
      </c>
      <c r="AJ38" s="133">
        <f>sum(B20:AJ20)</f>
        <v/>
      </c>
      <c r="AK38" s="133">
        <f>sum(B20:AK20)</f>
        <v/>
      </c>
      <c r="AL38" s="133">
        <f>sum(B20:AL20)</f>
        <v/>
      </c>
      <c r="AM38" s="133">
        <f>sum(B20:AM20)</f>
        <v/>
      </c>
      <c r="AN38" s="133">
        <f>sum(B20:AN20)</f>
        <v/>
      </c>
      <c r="AO38" s="133">
        <f>sum(B20:AO20)</f>
        <v/>
      </c>
      <c r="AP38" s="133">
        <f>sum(B20:AP20)</f>
        <v/>
      </c>
      <c r="AQ38" s="133">
        <f>sum(B20:AQ20)</f>
        <v/>
      </c>
      <c r="AR38" s="133">
        <f>sum(B20:AR20)</f>
        <v/>
      </c>
      <c r="AS38" s="133">
        <f>sum(B20:AS20)</f>
        <v/>
      </c>
      <c r="AT38" s="133">
        <f>sum(B20:AT20)</f>
        <v/>
      </c>
      <c r="AU38" s="133">
        <f>sum(B20:AU20)</f>
        <v/>
      </c>
      <c r="AV38" s="133">
        <f>sum(B20:AV20)</f>
        <v/>
      </c>
      <c r="AW38" s="133">
        <f>sum(B20:AW20)</f>
        <v/>
      </c>
      <c r="AX38" s="133">
        <f>sum(B20:AX20)</f>
        <v/>
      </c>
      <c r="AY38" s="133">
        <f>sum(B20:AY20)</f>
        <v/>
      </c>
      <c r="AZ38" s="133">
        <f>sum(B20:AZ20)</f>
        <v/>
      </c>
      <c r="BA38" s="133">
        <f>sum(B20:BA20)</f>
        <v/>
      </c>
      <c r="BB38" s="133">
        <f>sum(B20:BB20)</f>
        <v/>
      </c>
      <c r="BC38" s="133">
        <f>sum(B20:BC20)</f>
        <v/>
      </c>
      <c r="BD38" s="133">
        <f>sum(B20:BD20)</f>
        <v/>
      </c>
      <c r="BE38" s="133">
        <f>sum(B20:BE20)</f>
        <v/>
      </c>
      <c r="BF38" s="133">
        <f>sum(B20:BF20)</f>
        <v/>
      </c>
      <c r="BG38" s="133">
        <f>sum(B20:BG20)</f>
        <v/>
      </c>
      <c r="BH38" s="133">
        <f>sum(B20:BH20)</f>
        <v/>
      </c>
      <c r="BI38" s="135">
        <f>sum(B20:BI20)</f>
        <v/>
      </c>
    </row>
    <row r="39">
      <c r="A39" s="38" t="inlineStr">
        <is>
          <t>Cumulative Unlocked Resources ($)</t>
        </is>
      </c>
      <c r="B39" s="299" t="n">
        <v>0</v>
      </c>
      <c r="C39" s="299" t="n">
        <v>0</v>
      </c>
      <c r="D39" s="299" t="n">
        <v>0</v>
      </c>
      <c r="E39" s="117" t="n">
        <v>0</v>
      </c>
      <c r="F39" s="117" t="n">
        <v>0</v>
      </c>
      <c r="G39" s="133">
        <f>G33*XAUconfig!G3</f>
        <v/>
      </c>
      <c r="H39" s="133">
        <f>H33*XAUconfig!H3</f>
        <v/>
      </c>
      <c r="I39" s="133">
        <f>I33*XAUconfig!I3</f>
        <v/>
      </c>
      <c r="J39" s="133">
        <f>J33*XAUconfig!J3</f>
        <v/>
      </c>
      <c r="K39" s="133">
        <f>K33*XAUconfig!K3</f>
        <v/>
      </c>
      <c r="L39" s="133">
        <f>L33*XAUconfig!L3</f>
        <v/>
      </c>
      <c r="M39" s="133">
        <f>M33*XAUconfig!M3</f>
        <v/>
      </c>
      <c r="N39" s="133">
        <f>N33*XAUconfig!N3</f>
        <v/>
      </c>
      <c r="O39" s="133">
        <f>O33*XAUconfig!O3</f>
        <v/>
      </c>
      <c r="P39" s="133">
        <f>P33*XAUconfig!P3</f>
        <v/>
      </c>
      <c r="Q39" s="133">
        <f>Q33*XAUconfig!Q3</f>
        <v/>
      </c>
      <c r="R39" s="133">
        <f>R33*XAUconfig!R3</f>
        <v/>
      </c>
      <c r="S39" s="133">
        <f>S33*XAUconfig!S3</f>
        <v/>
      </c>
      <c r="T39" s="133">
        <f>T33*XAUconfig!T3</f>
        <v/>
      </c>
      <c r="U39" s="133">
        <f>U33*XAUconfig!U3</f>
        <v/>
      </c>
      <c r="V39" s="133">
        <f>V33*XAUconfig!V3</f>
        <v/>
      </c>
      <c r="W39" s="133">
        <f>W33*XAUconfig!W3</f>
        <v/>
      </c>
      <c r="X39" s="133">
        <f>X33*XAUconfig!X3</f>
        <v/>
      </c>
      <c r="Y39" s="133">
        <f>Y33*XAUconfig!Y3</f>
        <v/>
      </c>
      <c r="Z39" s="133">
        <f>Z33*XAUconfig!Z3</f>
        <v/>
      </c>
      <c r="AA39" s="133">
        <f>AA33*XAUconfig!AA3</f>
        <v/>
      </c>
      <c r="AB39" s="133">
        <f>AB33*XAUconfig!AB3</f>
        <v/>
      </c>
      <c r="AC39" s="133">
        <f>AC33*XAUconfig!AC3</f>
        <v/>
      </c>
      <c r="AD39" s="133">
        <f>AD33*XAUconfig!AD3</f>
        <v/>
      </c>
      <c r="AE39" s="133">
        <f>AE33*XAUconfig!AE3</f>
        <v/>
      </c>
      <c r="AF39" s="133">
        <f>AF33*Inputs!B9</f>
        <v/>
      </c>
      <c r="AG39" s="133">
        <f>AG33*XAUconfig!AG3</f>
        <v/>
      </c>
      <c r="AH39" s="133">
        <f>AH33*XAUconfig!AH3</f>
        <v/>
      </c>
      <c r="AI39" s="133">
        <f>AI33*XAUconfig!AI3</f>
        <v/>
      </c>
      <c r="AJ39" s="133">
        <f>AJ33*XAUconfig!AJ3</f>
        <v/>
      </c>
      <c r="AK39" s="133">
        <f>AK33*XAUconfig!AK3</f>
        <v/>
      </c>
      <c r="AL39" s="133">
        <f>AL33*XAUconfig!AL3</f>
        <v/>
      </c>
      <c r="AM39" s="133">
        <f>AM33*XAUconfig!AM3</f>
        <v/>
      </c>
      <c r="AN39" s="133">
        <f>AN33*XAUconfig!AN3</f>
        <v/>
      </c>
      <c r="AO39" s="133">
        <f>AO33*XAUconfig!AO3</f>
        <v/>
      </c>
      <c r="AP39" s="133">
        <f>AP33*XAUconfig!AP3</f>
        <v/>
      </c>
      <c r="AQ39" s="133">
        <f>AQ33*XAUconfig!AQ3</f>
        <v/>
      </c>
      <c r="AR39" s="133">
        <f>AR33*XAUconfig!AR3</f>
        <v/>
      </c>
      <c r="AS39" s="133">
        <f>AS33*XAUconfig!AS3</f>
        <v/>
      </c>
      <c r="AT39" s="133">
        <f>AT33*XAUconfig!AT3</f>
        <v/>
      </c>
      <c r="AU39" s="133">
        <f>AU33*XAUconfig!AU3</f>
        <v/>
      </c>
      <c r="AV39" s="133">
        <f>AV33*XAUconfig!AV3</f>
        <v/>
      </c>
      <c r="AW39" s="133">
        <f>AW33*XAUconfig!AW3</f>
        <v/>
      </c>
      <c r="AX39" s="133">
        <f>AX33*XAUconfig!AX3</f>
        <v/>
      </c>
      <c r="AY39" s="133">
        <f>AY33*XAUconfig!AY3</f>
        <v/>
      </c>
      <c r="AZ39" s="133">
        <f>AZ33*XAUconfig!AZ3</f>
        <v/>
      </c>
      <c r="BA39" s="133">
        <f>BA33*XAUconfig!BA3</f>
        <v/>
      </c>
      <c r="BB39" s="133">
        <f>BB33*XAUconfig!BB3</f>
        <v/>
      </c>
      <c r="BC39" s="133">
        <f>BC33*XAUconfig!BC3</f>
        <v/>
      </c>
      <c r="BD39" s="133">
        <f>BD33*XAUconfig!BD3</f>
        <v/>
      </c>
      <c r="BE39" s="133">
        <f>BE33*XAUconfig!BE3</f>
        <v/>
      </c>
      <c r="BF39" s="133">
        <f>BF33*XAUconfig!BF3</f>
        <v/>
      </c>
      <c r="BG39" s="133">
        <f>BG33*XAUconfig!BG3</f>
        <v/>
      </c>
      <c r="BH39" s="133">
        <f>BH33*XAUconfig!BH3</f>
        <v/>
      </c>
      <c r="BI39" s="135">
        <f>BI33*XAUconfig!BI3</f>
        <v/>
      </c>
    </row>
    <row r="40">
      <c r="A40" s="45" t="inlineStr">
        <is>
          <t>Cumulative Allocation to RealGold Treasury ($)</t>
        </is>
      </c>
      <c r="B40" s="136" t="n">
        <v>0</v>
      </c>
      <c r="C40" s="136" t="n">
        <v>0</v>
      </c>
      <c r="D40" s="136" t="n">
        <v>0</v>
      </c>
      <c r="E40" s="137" t="n">
        <v>0</v>
      </c>
      <c r="F40" s="137" t="n">
        <v>0</v>
      </c>
      <c r="G40" s="139">
        <f>G34*XAUconfig!G3</f>
        <v/>
      </c>
      <c r="H40" s="139">
        <f>H34*XAUconfig!H3</f>
        <v/>
      </c>
      <c r="I40" s="139">
        <f>I34*XAUconfig!I3</f>
        <v/>
      </c>
      <c r="J40" s="139">
        <f>J34*XAUconfig!J3</f>
        <v/>
      </c>
      <c r="K40" s="139">
        <f>K34*XAUconfig!K3</f>
        <v/>
      </c>
      <c r="L40" s="139">
        <f>L34*XAUconfig!L3</f>
        <v/>
      </c>
      <c r="M40" s="139">
        <f>M34*XAUconfig!M3</f>
        <v/>
      </c>
      <c r="N40" s="139">
        <f>N34*XAUconfig!N3</f>
        <v/>
      </c>
      <c r="O40" s="139">
        <f>O34*XAUconfig!O3</f>
        <v/>
      </c>
      <c r="P40" s="139">
        <f>P34*XAUconfig!P3</f>
        <v/>
      </c>
      <c r="Q40" s="139">
        <f>Q34*XAUconfig!Q3</f>
        <v/>
      </c>
      <c r="R40" s="139">
        <f>R34*XAUconfig!R3</f>
        <v/>
      </c>
      <c r="S40" s="139">
        <f>S34*XAUconfig!S3</f>
        <v/>
      </c>
      <c r="T40" s="139">
        <f>T34*XAUconfig!T3</f>
        <v/>
      </c>
      <c r="U40" s="139">
        <f>U34*XAUconfig!U3</f>
        <v/>
      </c>
      <c r="V40" s="139">
        <f>V34*XAUconfig!V3</f>
        <v/>
      </c>
      <c r="W40" s="139">
        <f>W34*XAUconfig!W3</f>
        <v/>
      </c>
      <c r="X40" s="139">
        <f>X34*XAUconfig!X3</f>
        <v/>
      </c>
      <c r="Y40" s="139">
        <f>Y34*XAUconfig!Y3</f>
        <v/>
      </c>
      <c r="Z40" s="139">
        <f>Z34*XAUconfig!Z3</f>
        <v/>
      </c>
      <c r="AA40" s="139">
        <f>AA34*XAUconfig!AA3</f>
        <v/>
      </c>
      <c r="AB40" s="139">
        <f>AB34*XAUconfig!AB3</f>
        <v/>
      </c>
      <c r="AC40" s="139">
        <f>AC34*XAUconfig!AC3</f>
        <v/>
      </c>
      <c r="AD40" s="139">
        <f>AD34*XAUconfig!AD3</f>
        <v/>
      </c>
      <c r="AE40" s="139">
        <f>AE34*XAUconfig!AE3</f>
        <v/>
      </c>
      <c r="AF40" s="139">
        <f>AF34*XAUconfig!AF3</f>
        <v/>
      </c>
      <c r="AG40" s="139">
        <f>AG34*XAUconfig!AG3</f>
        <v/>
      </c>
      <c r="AH40" s="139">
        <f>AH34*XAUconfig!AH3</f>
        <v/>
      </c>
      <c r="AI40" s="139">
        <f>AI34*XAUconfig!AI3</f>
        <v/>
      </c>
      <c r="AJ40" s="139">
        <f>AJ34*XAUconfig!AJ3</f>
        <v/>
      </c>
      <c r="AK40" s="139">
        <f>AK34*XAUconfig!AK3</f>
        <v/>
      </c>
      <c r="AL40" s="139">
        <f>AL34*XAUconfig!AL3</f>
        <v/>
      </c>
      <c r="AM40" s="139">
        <f>AM34*XAUconfig!AM3</f>
        <v/>
      </c>
      <c r="AN40" s="139">
        <f>AN34*XAUconfig!AN3</f>
        <v/>
      </c>
      <c r="AO40" s="139">
        <f>AO34*XAUconfig!AO3</f>
        <v/>
      </c>
      <c r="AP40" s="139">
        <f>AP34*XAUconfig!AP3</f>
        <v/>
      </c>
      <c r="AQ40" s="139">
        <f>AQ34*XAUconfig!AQ3</f>
        <v/>
      </c>
      <c r="AR40" s="139">
        <f>AR34*XAUconfig!AR3</f>
        <v/>
      </c>
      <c r="AS40" s="139">
        <f>AS34*XAUconfig!AS3</f>
        <v/>
      </c>
      <c r="AT40" s="139">
        <f>AT34*XAUconfig!AT3</f>
        <v/>
      </c>
      <c r="AU40" s="139">
        <f>AU34*XAUconfig!AU3</f>
        <v/>
      </c>
      <c r="AV40" s="139">
        <f>AV34*XAUconfig!AV3</f>
        <v/>
      </c>
      <c r="AW40" s="139">
        <f>AW34*XAUconfig!AW3</f>
        <v/>
      </c>
      <c r="AX40" s="139">
        <f>AX34*XAUconfig!AX3</f>
        <v/>
      </c>
      <c r="AY40" s="139">
        <f>AY34*XAUconfig!AY3</f>
        <v/>
      </c>
      <c r="AZ40" s="139">
        <f>AZ34*XAUconfig!AZ3</f>
        <v/>
      </c>
      <c r="BA40" s="139">
        <f>BA34*XAUconfig!BA3</f>
        <v/>
      </c>
      <c r="BB40" s="139">
        <f>BB34*XAUconfig!BB3</f>
        <v/>
      </c>
      <c r="BC40" s="139">
        <f>BC34*XAUconfig!BC3</f>
        <v/>
      </c>
      <c r="BD40" s="139">
        <f>BD34*XAUconfig!BD3</f>
        <v/>
      </c>
      <c r="BE40" s="139">
        <f>BE34*XAUconfig!BE3</f>
        <v/>
      </c>
      <c r="BF40" s="139">
        <f>BF34*XAUconfig!BF3</f>
        <v/>
      </c>
      <c r="BG40" s="139">
        <f>BG34*XAUconfig!BG3</f>
        <v/>
      </c>
      <c r="BH40" s="139">
        <f>BH34*XAUconfig!BH3</f>
        <v/>
      </c>
      <c r="BI40" s="177">
        <f>BI34*XAUconfig!BI3</f>
        <v/>
      </c>
    </row>
    <row r="41">
      <c r="A41" s="191" t="n"/>
    </row>
    <row r="42">
      <c r="A42" s="36" t="inlineStr">
        <is>
          <t>Annual Summaries</t>
        </is>
      </c>
      <c r="B42" s="150" t="n"/>
      <c r="C42" s="150" t="n"/>
      <c r="D42" s="150" t="n"/>
      <c r="E42" s="150" t="n"/>
      <c r="F42" s="150" t="n"/>
      <c r="G42" s="151" t="n">
        <v>2025</v>
      </c>
      <c r="H42" s="151" t="n">
        <v>2026</v>
      </c>
      <c r="I42" s="151" t="n">
        <v>2027</v>
      </c>
      <c r="J42" s="151" t="n">
        <v>2028</v>
      </c>
      <c r="K42" s="151" t="n">
        <v>2029</v>
      </c>
      <c r="L42" s="152" t="inlineStr">
        <is>
          <t>Cumulative</t>
        </is>
      </c>
    </row>
    <row r="43">
      <c r="A43" s="38" t="inlineStr">
        <is>
          <t># of mines brought online</t>
        </is>
      </c>
      <c r="G43" s="117">
        <f>sum(B3:M3)</f>
        <v/>
      </c>
      <c r="H43" s="117">
        <f>sum(N3:Y3)</f>
        <v/>
      </c>
      <c r="I43" s="117">
        <f>sum(Z3:AK3)</f>
        <v/>
      </c>
      <c r="J43" s="117">
        <f>sum(AL3:AW3)</f>
        <v/>
      </c>
      <c r="K43" s="117">
        <f>sum(AV3:BI3)</f>
        <v/>
      </c>
      <c r="L43" s="106">
        <f>SUM(G43:K43)</f>
        <v/>
      </c>
      <c r="M43" s="153" t="n"/>
    </row>
    <row r="44">
      <c r="A44" s="38" t="inlineStr">
        <is>
          <t>Assayed Resources ($)</t>
        </is>
      </c>
      <c r="G44" s="133">
        <f>sum(B18:M18)</f>
        <v/>
      </c>
      <c r="H44" s="133">
        <f>sum(N18:Y18)</f>
        <v/>
      </c>
      <c r="I44" s="133">
        <f>sum(Z18:AK18)</f>
        <v/>
      </c>
      <c r="J44" s="133">
        <f>sum(AL18:AW18)</f>
        <v/>
      </c>
      <c r="K44" s="133">
        <f>sum(AV18:BI18)</f>
        <v/>
      </c>
      <c r="L44" s="135">
        <f>SUM(G44:K44)</f>
        <v/>
      </c>
    </row>
    <row r="45">
      <c r="A45" s="38" t="inlineStr">
        <is>
          <t>Authorized Resources ($)</t>
        </is>
      </c>
      <c r="G45" s="133">
        <f>sum(B19:M19)</f>
        <v/>
      </c>
      <c r="H45" s="133">
        <f>sum(N19:Y19)</f>
        <v/>
      </c>
      <c r="I45" s="133">
        <f>sum(Z19:AK19)</f>
        <v/>
      </c>
      <c r="J45" s="133">
        <f>sum(AL19:AW19)</f>
        <v/>
      </c>
      <c r="K45" s="133">
        <f>sum(AV19:BI19)</f>
        <v/>
      </c>
      <c r="L45" s="135">
        <f>SUM(G45:K45)</f>
        <v/>
      </c>
      <c r="M45" s="191" t="n"/>
    </row>
    <row r="46">
      <c r="A46" s="38" t="inlineStr">
        <is>
          <t>Releasable Resources ($)</t>
        </is>
      </c>
      <c r="G46" s="133">
        <f>sum(B20:M20)</f>
        <v/>
      </c>
      <c r="H46" s="133">
        <f>sum(N20:Y20)</f>
        <v/>
      </c>
      <c r="I46" s="133">
        <f>sum(Z20:AK20)</f>
        <v/>
      </c>
      <c r="J46" s="133">
        <f>sum(AL20:AW20)</f>
        <v/>
      </c>
      <c r="K46" s="133">
        <f>sum(AV20:BI20)</f>
        <v/>
      </c>
      <c r="L46" s="135">
        <f>SUM(G46:K46)</f>
        <v/>
      </c>
    </row>
    <row r="47">
      <c r="A47" s="38" t="inlineStr">
        <is>
          <t>Released Resources ($)</t>
        </is>
      </c>
      <c r="G47" s="133">
        <f>sum(B21:M21)</f>
        <v/>
      </c>
      <c r="H47" s="133">
        <f>sum(N21:Y21)</f>
        <v/>
      </c>
      <c r="I47" s="133">
        <f>sum(Z21:AK21)</f>
        <v/>
      </c>
      <c r="J47" s="133">
        <f>sum(AL21:AW21)</f>
        <v/>
      </c>
      <c r="K47" s="133">
        <f>sum(AV21:BI21)</f>
        <v/>
      </c>
      <c r="L47" s="135">
        <f>SUM(G47:K47)</f>
        <v/>
      </c>
    </row>
    <row r="48">
      <c r="A48" s="38" t="inlineStr">
        <is>
          <t>Registration Fees ($)</t>
        </is>
      </c>
      <c r="G48" s="133">
        <f>sum(B22:M22)</f>
        <v/>
      </c>
      <c r="H48" s="133">
        <f>sum(N22:Y22)</f>
        <v/>
      </c>
      <c r="I48" s="133">
        <f>sum(Z22:AK22)</f>
        <v/>
      </c>
      <c r="J48" s="133">
        <f>sum(AL22:AW22)</f>
        <v/>
      </c>
      <c r="K48" s="133">
        <f>sum(AV22:BI22)</f>
        <v/>
      </c>
      <c r="L48" s="135">
        <f>SUM(G48:K48)</f>
        <v/>
      </c>
    </row>
    <row r="49">
      <c r="A49" s="38" t="inlineStr">
        <is>
          <t>Market Placement Fee ($)</t>
        </is>
      </c>
      <c r="G49" s="133">
        <f>sum(B23:M23)</f>
        <v/>
      </c>
      <c r="H49" s="133">
        <f>sum(N23:Y23)</f>
        <v/>
      </c>
      <c r="I49" s="133">
        <f>sum(Z23:AK23)</f>
        <v/>
      </c>
      <c r="J49" s="133">
        <f>sum(AL23:AW23)</f>
        <v/>
      </c>
      <c r="K49" s="133">
        <f>sum(AV23:BI23)</f>
        <v/>
      </c>
      <c r="L49" s="135">
        <f>SUM(G49:K49)</f>
        <v/>
      </c>
    </row>
    <row r="50">
      <c r="A50" s="38" t="inlineStr">
        <is>
          <t>Total Fee Revenue ($)</t>
        </is>
      </c>
      <c r="G50" s="133">
        <f>sum(B25:M25)</f>
        <v/>
      </c>
      <c r="H50" s="133">
        <f>sum(N25:Y25)</f>
        <v/>
      </c>
      <c r="I50" s="133">
        <f>sum(Z25:AK25)</f>
        <v/>
      </c>
      <c r="J50" s="133">
        <f>sum(AL25:AW25)</f>
        <v/>
      </c>
      <c r="K50" s="133">
        <f>sum(AV25:BI25)</f>
        <v/>
      </c>
      <c r="L50" s="135">
        <f>SUM(G50:K50)</f>
        <v/>
      </c>
    </row>
    <row r="51">
      <c r="A51" s="38" t="inlineStr">
        <is>
          <t>Total Allocation to 1031 ($)</t>
        </is>
      </c>
      <c r="G51" s="133">
        <f>sum(B26:M26)</f>
        <v/>
      </c>
      <c r="H51" s="133">
        <f>sum(N26:Y26)</f>
        <v/>
      </c>
      <c r="I51" s="133">
        <f>sum(Z26:AK26)</f>
        <v/>
      </c>
      <c r="J51" s="133">
        <f>sum(AL26:AW26)</f>
        <v/>
      </c>
      <c r="K51" s="133">
        <f>sum(AV26:BI26)</f>
        <v/>
      </c>
      <c r="L51" s="135">
        <f>SUM(G51:K51)</f>
        <v/>
      </c>
    </row>
    <row r="52">
      <c r="A52" s="38" t="inlineStr">
        <is>
          <t>Total Allocation to RealGold Treasury ($)</t>
        </is>
      </c>
      <c r="G52" s="133">
        <f>sum(B27:M27)</f>
        <v/>
      </c>
      <c r="H52" s="133">
        <f>sum(N27:Y27)</f>
        <v/>
      </c>
      <c r="I52" s="133">
        <f>sum(Z27:AK27)</f>
        <v/>
      </c>
      <c r="J52" s="133">
        <f>sum(AL27:AW27)</f>
        <v/>
      </c>
      <c r="K52" s="133">
        <f>sum(AV27:BI27)</f>
        <v/>
      </c>
      <c r="L52" s="135">
        <f>SUM(G52:K52)</f>
        <v/>
      </c>
    </row>
    <row r="53">
      <c r="A53" s="148" t="n"/>
      <c r="B53" s="128" t="n"/>
      <c r="C53" s="128" t="n"/>
      <c r="D53" s="128" t="n"/>
      <c r="E53" s="128" t="n"/>
      <c r="F53" s="128" t="n"/>
      <c r="G53" s="128" t="n"/>
      <c r="H53" s="128" t="n"/>
      <c r="I53" s="128" t="n"/>
      <c r="J53" s="128" t="n"/>
      <c r="K53" s="128" t="n"/>
      <c r="L53" s="132" t="n"/>
    </row>
    <row r="54">
      <c r="A54" s="38" t="inlineStr">
        <is>
          <t>Assayed Resources (oz)</t>
        </is>
      </c>
      <c r="G54" s="100">
        <f>SUM(B4:M4)</f>
        <v/>
      </c>
      <c r="H54" s="100">
        <f>sum(N4:Y4)</f>
        <v/>
      </c>
      <c r="I54" s="100">
        <f>sum(Z4:AK4)</f>
        <v/>
      </c>
      <c r="J54" s="100">
        <f>sum(AL4:AW4)</f>
        <v/>
      </c>
      <c r="K54" s="100">
        <f>sum(AV4:BI4)</f>
        <v/>
      </c>
      <c r="L54" s="154">
        <f>sum(G54:K54)</f>
        <v/>
      </c>
    </row>
    <row r="55">
      <c r="A55" s="38" t="inlineStr">
        <is>
          <t>Registered Resources (oz)</t>
        </is>
      </c>
      <c r="G55" s="100">
        <f>SUM(B5:M5)</f>
        <v/>
      </c>
      <c r="H55" s="100">
        <f>sum(N5:Y5)</f>
        <v/>
      </c>
      <c r="I55" s="100">
        <f>sum(Z5:AK5)</f>
        <v/>
      </c>
      <c r="J55" s="100">
        <f>sum(AL5:AW5)</f>
        <v/>
      </c>
      <c r="K55" s="100">
        <f>sum(AV5:BI5)</f>
        <v/>
      </c>
      <c r="L55" s="154">
        <f>sum(G55:K55)</f>
        <v/>
      </c>
    </row>
    <row r="56">
      <c r="A56" s="38" t="inlineStr">
        <is>
          <t>Releasable Resources (oz)</t>
        </is>
      </c>
      <c r="G56" s="100">
        <f>SUM(B6:M6)</f>
        <v/>
      </c>
      <c r="H56" s="100">
        <f>sum(N6:Y6)</f>
        <v/>
      </c>
      <c r="I56" s="100">
        <f>sum(Z6:AK6)</f>
        <v/>
      </c>
      <c r="J56" s="100">
        <f>sum(AL6:AW6)</f>
        <v/>
      </c>
      <c r="K56" s="100">
        <f>sum(AV6:BI6)</f>
        <v/>
      </c>
      <c r="L56" s="154">
        <f>sum(G56:K56)</f>
        <v/>
      </c>
    </row>
    <row r="57">
      <c r="A57" s="38" t="inlineStr">
        <is>
          <t>Released Resources (oz)</t>
        </is>
      </c>
      <c r="G57" s="87">
        <f>sum(B7:M7)</f>
        <v/>
      </c>
      <c r="H57" s="87">
        <f>sum(N7:Y7)</f>
        <v/>
      </c>
      <c r="I57" s="87">
        <f>sum(Z7:AK7)</f>
        <v/>
      </c>
      <c r="J57" s="87">
        <f>sum(AL7:AW7)</f>
        <v/>
      </c>
      <c r="K57" s="87">
        <f>sum(AV7:BI7)</f>
        <v/>
      </c>
      <c r="L57" s="161">
        <f>sum(G57:K57)</f>
        <v/>
      </c>
      <c r="M57" s="159" t="n"/>
    </row>
    <row r="58">
      <c r="A58" s="38" t="inlineStr">
        <is>
          <t>Registration Fees (oz)</t>
        </is>
      </c>
      <c r="G58" s="87">
        <f>sum(G8+J8)</f>
        <v/>
      </c>
      <c r="H58" s="87">
        <f>sum(N8:Y8)</f>
        <v/>
      </c>
      <c r="I58" s="87">
        <f>sum(Z8:AK8)</f>
        <v/>
      </c>
      <c r="J58" s="87">
        <f>sum(AL8:AW8)</f>
        <v/>
      </c>
      <c r="K58" s="87">
        <f>sum(AV8:BI8)</f>
        <v/>
      </c>
      <c r="L58" s="161">
        <f>sum(G58:K58)</f>
        <v/>
      </c>
      <c r="M58" s="100" t="n"/>
    </row>
    <row r="59">
      <c r="A59" s="38" t="inlineStr">
        <is>
          <t>Market Placement Fee (oz)</t>
        </is>
      </c>
      <c r="G59" s="87">
        <f>SUM(B10:M10)</f>
        <v/>
      </c>
      <c r="H59" s="87">
        <f>sum(N10:Y10)</f>
        <v/>
      </c>
      <c r="I59" s="87">
        <f>sum(Z10:AK10)</f>
        <v/>
      </c>
      <c r="J59" s="87">
        <f>sum(AL10:AW10)</f>
        <v/>
      </c>
      <c r="K59" s="87">
        <f>sum(AV10:BI10)</f>
        <v/>
      </c>
      <c r="L59" s="161">
        <f>sum(G59:K59)</f>
        <v/>
      </c>
      <c r="M59" s="159" t="n"/>
    </row>
    <row r="60">
      <c r="A60" s="38" t="inlineStr">
        <is>
          <t>Allocation to RealGold Treasury (oz)</t>
        </is>
      </c>
      <c r="G60" s="87">
        <f>SUM(B15:M15)</f>
        <v/>
      </c>
      <c r="H60" s="87">
        <f>sum(N16:Y16)</f>
        <v/>
      </c>
      <c r="I60" s="87">
        <f>sum(Z16:AK16)</f>
        <v/>
      </c>
      <c r="J60" s="87">
        <f>sum(AL16:AW16)</f>
        <v/>
      </c>
      <c r="K60" s="87">
        <f>sum(AV16:BI16)</f>
        <v/>
      </c>
      <c r="L60" s="161">
        <f>sum(G60:K60)</f>
        <v/>
      </c>
      <c r="M60" s="159" t="n"/>
    </row>
    <row r="61">
      <c r="A61" s="38" t="inlineStr">
        <is>
          <t>Total Fee Revenue (oz)</t>
        </is>
      </c>
      <c r="G61" s="87">
        <f>G58+G59</f>
        <v/>
      </c>
      <c r="H61" s="87">
        <f>H58+H59</f>
        <v/>
      </c>
      <c r="I61" s="87">
        <f>I58+I59</f>
        <v/>
      </c>
      <c r="J61" s="87">
        <f>J58+J59</f>
        <v/>
      </c>
      <c r="K61" s="87">
        <f>K58+K59</f>
        <v/>
      </c>
      <c r="L61" s="161">
        <f>sum(G61:K61)</f>
        <v/>
      </c>
    </row>
    <row r="62">
      <c r="A62" s="38" t="inlineStr">
        <is>
          <t>Total Allocation to 1031 (oz)</t>
        </is>
      </c>
      <c r="G62" s="87">
        <f>sum(B15:M15)</f>
        <v/>
      </c>
      <c r="H62" s="87">
        <f>sum(N15:Y15)</f>
        <v/>
      </c>
      <c r="I62" s="87">
        <f>sum(Z15:AK15)</f>
        <v/>
      </c>
      <c r="J62" s="87">
        <f>sum(AL15:AW15)</f>
        <v/>
      </c>
      <c r="K62" s="87">
        <f>sum(AV15:BI15)</f>
        <v/>
      </c>
      <c r="L62" s="161">
        <f>sum(G62:K62)</f>
        <v/>
      </c>
      <c r="M62" s="159" t="n"/>
    </row>
    <row r="63">
      <c r="A63" s="38" t="inlineStr">
        <is>
          <t>Total Allocation to RealGold Treasury (oz)</t>
        </is>
      </c>
      <c r="G63" s="87">
        <f>SUM(B15:M15)</f>
        <v/>
      </c>
      <c r="H63" s="87">
        <f>SUM(N15:Y15)</f>
        <v/>
      </c>
      <c r="I63" s="87">
        <f>SUM(Z15:AK15)</f>
        <v/>
      </c>
      <c r="J63" s="87">
        <f>SUM(AL15:AW15)</f>
        <v/>
      </c>
      <c r="K63" s="87">
        <f>SUM(AV15:BI15)</f>
        <v/>
      </c>
      <c r="L63" s="161">
        <f>sum(G63:K63)</f>
        <v/>
      </c>
      <c r="M63" s="159" t="n"/>
    </row>
    <row r="64">
      <c r="A64" s="148" t="n"/>
      <c r="B64" s="128" t="n"/>
      <c r="C64" s="128" t="n"/>
      <c r="D64" s="128" t="n"/>
      <c r="E64" s="128" t="n"/>
      <c r="F64" s="128" t="n"/>
      <c r="G64" s="128" t="n"/>
      <c r="H64" s="128" t="n"/>
      <c r="I64" s="128" t="n"/>
      <c r="J64" s="128" t="n"/>
      <c r="K64" s="128" t="n"/>
      <c r="L64" s="132" t="n"/>
    </row>
    <row r="65">
      <c r="A65" s="156" t="inlineStr">
        <is>
          <t>Overcollateralization Ratio</t>
        </is>
      </c>
      <c r="B65" s="157" t="n"/>
      <c r="C65" s="157" t="n"/>
      <c r="D65" s="157" t="n"/>
      <c r="E65" s="157" t="n"/>
      <c r="F65" s="157" t="n"/>
      <c r="G65" s="157" t="n"/>
      <c r="H65" s="157" t="n"/>
      <c r="I65" s="157" t="n"/>
      <c r="J65" s="157" t="n"/>
      <c r="K65" s="157" t="n"/>
      <c r="L65" s="158">
        <f>L55/(L57+L58+L59)</f>
        <v/>
      </c>
      <c r="M65" s="159" t="n"/>
    </row>
    <row r="68">
      <c r="M68" s="105" t="n"/>
    </row>
    <row r="69">
      <c r="A69" s="117" t="n"/>
      <c r="B69" s="117" t="n"/>
      <c r="C69" s="117" t="n"/>
      <c r="D69" s="117" t="n"/>
      <c r="E69" s="117" t="n"/>
      <c r="F69" s="117" t="n"/>
      <c r="H69" s="117" t="n"/>
      <c r="I69" s="117" t="n"/>
      <c r="K69" s="117" t="n"/>
      <c r="L69" s="117" t="n"/>
      <c r="M69" s="117" t="n"/>
      <c r="O69" s="117" t="n"/>
      <c r="P69" s="117" t="n"/>
      <c r="Q69" s="117" t="n"/>
      <c r="R69" s="117" t="n"/>
      <c r="S69" s="159" t="n"/>
      <c r="T69" s="117" t="n"/>
      <c r="U69" s="117" t="n"/>
      <c r="W69" s="117" t="n"/>
      <c r="X69" s="117" t="n"/>
      <c r="Y69" s="117" t="n"/>
    </row>
    <row r="70">
      <c r="B70" s="117" t="n"/>
      <c r="C70" s="117" t="n"/>
      <c r="D70" s="117" t="n"/>
      <c r="E70" s="117" t="n"/>
      <c r="F70" s="117" t="n"/>
      <c r="G70" s="159" t="n"/>
      <c r="H70" s="159" t="n"/>
      <c r="I70" s="159" t="n"/>
      <c r="J70" s="159" t="n"/>
      <c r="K70" s="159" t="n"/>
      <c r="L70" s="159" t="n"/>
      <c r="M70" s="159" t="n"/>
      <c r="N70" s="159" t="n"/>
      <c r="O70" s="159" t="n"/>
      <c r="P70" s="159" t="n"/>
      <c r="Q70" s="159" t="n"/>
      <c r="R70" s="159" t="n"/>
      <c r="S70" s="159" t="n"/>
      <c r="T70" s="159" t="n"/>
      <c r="U70" s="159" t="n"/>
      <c r="V70" s="159" t="n"/>
      <c r="W70" s="159" t="n"/>
      <c r="X70" s="159" t="n"/>
      <c r="Y70" s="159" t="n"/>
    </row>
    <row r="71">
      <c r="B71" s="117" t="n"/>
      <c r="C71" s="117" t="n"/>
      <c r="D71" s="117" t="n"/>
      <c r="E71" s="117" t="n"/>
      <c r="F71" s="117" t="n"/>
      <c r="H71" s="117" t="n"/>
      <c r="I71" s="117" t="n"/>
      <c r="K71" s="117" t="n"/>
      <c r="L71" s="117" t="n"/>
      <c r="M71" s="117" t="n"/>
      <c r="O71" s="117" t="n"/>
      <c r="P71" s="117" t="n"/>
      <c r="Q71" s="117" t="n"/>
      <c r="R71" s="117" t="n"/>
      <c r="T71" s="117" t="n"/>
      <c r="U71" s="117" t="n"/>
      <c r="W71" s="117" t="n"/>
      <c r="X71" s="117" t="n"/>
      <c r="Y71" s="117" t="n"/>
    </row>
    <row r="72">
      <c r="A72" s="117" t="n"/>
      <c r="B72" s="117" t="n"/>
      <c r="C72" s="117" t="n"/>
      <c r="D72" s="117" t="n"/>
      <c r="E72" s="117" t="n"/>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row>
    <row r="77">
      <c r="A77" s="117" t="n"/>
      <c r="B77" s="117" t="n"/>
      <c r="C77" s="100" t="n"/>
      <c r="D77" s="117" t="n"/>
      <c r="E77" s="117" t="n"/>
      <c r="F77" s="117" t="n"/>
      <c r="G77" s="87" t="n"/>
      <c r="H77" s="117" t="n"/>
      <c r="I77" s="117" t="n"/>
      <c r="J77" s="159" t="n"/>
      <c r="K77" s="117" t="n"/>
      <c r="L77" s="117" t="n"/>
      <c r="M77" s="117" t="n"/>
      <c r="N77" s="159" t="n"/>
      <c r="O77" s="117" t="n"/>
      <c r="P77" s="117" t="n"/>
      <c r="Q77" s="117" t="n"/>
      <c r="R77" s="117" t="n"/>
      <c r="S77" s="117" t="n"/>
      <c r="T77" s="117" t="n"/>
      <c r="U77" s="117" t="n"/>
      <c r="V77" s="117" t="n"/>
      <c r="W77" s="117" t="n"/>
      <c r="X77" s="117" t="n"/>
      <c r="Y77" s="117" t="n"/>
    </row>
    <row r="78">
      <c r="B78" s="117" t="n"/>
      <c r="C78" s="117" t="n"/>
      <c r="D78" s="117" t="n"/>
      <c r="E78" s="117" t="n"/>
      <c r="F78" s="117" t="n"/>
      <c r="G78" s="159" t="n"/>
      <c r="H78" s="117" t="n"/>
      <c r="I78" s="117" t="n"/>
      <c r="J78" s="159" t="n"/>
      <c r="K78" s="165" t="n"/>
      <c r="L78" s="165" t="n"/>
      <c r="M78" s="165" t="n"/>
      <c r="N78" s="159" t="n"/>
      <c r="O78" s="117" t="n"/>
      <c r="P78" s="117" t="n"/>
      <c r="Q78" s="117" t="n"/>
      <c r="R78" s="117" t="n"/>
      <c r="S78" s="105" t="n"/>
      <c r="T78" s="117" t="n"/>
      <c r="U78" s="117" t="n"/>
      <c r="V78" s="159" t="n"/>
      <c r="W78" s="117" t="n"/>
      <c r="X78" s="117" t="n"/>
      <c r="Y78" s="117" t="n"/>
    </row>
    <row r="79">
      <c r="B79" s="117" t="n"/>
      <c r="C79" s="100" t="n"/>
      <c r="D79" s="117" t="n"/>
      <c r="E79" s="117" t="n"/>
      <c r="F79" s="117" t="n"/>
      <c r="G79" s="87" t="n"/>
      <c r="H79" s="117" t="n"/>
      <c r="I79" s="117" t="n"/>
      <c r="J79" s="159" t="n"/>
      <c r="K79" s="117" t="n"/>
      <c r="L79" s="117" t="n"/>
      <c r="M79" s="117" t="n"/>
      <c r="N79" s="159" t="n"/>
      <c r="O79" s="117" t="n"/>
      <c r="P79" s="117" t="n"/>
      <c r="Q79" s="117" t="n"/>
      <c r="R79" s="117" t="n"/>
      <c r="S79" s="159" t="n"/>
      <c r="T79" s="117" t="n"/>
      <c r="U79" s="117" t="n"/>
      <c r="V79" s="159" t="n"/>
      <c r="W79" s="117" t="n"/>
      <c r="X79" s="117" t="n"/>
      <c r="Y79" s="117" t="n"/>
    </row>
    <row r="80">
      <c r="B80" s="117" t="n"/>
      <c r="C80" s="117" t="n"/>
      <c r="D80" s="117" t="n"/>
      <c r="E80" s="117" t="n"/>
      <c r="F80" s="117" t="n"/>
      <c r="G80" s="159" t="n"/>
      <c r="H80" s="117" t="n"/>
      <c r="I80" s="117" t="n"/>
      <c r="J80" s="159" t="n"/>
      <c r="K80" s="165" t="n"/>
      <c r="L80" s="165" t="n"/>
      <c r="M80" s="165" t="n"/>
      <c r="N80" s="159" t="n"/>
      <c r="O80" s="117" t="n"/>
      <c r="P80" s="117" t="n"/>
      <c r="Q80" s="117" t="n"/>
      <c r="R80" s="117" t="n"/>
      <c r="S80" s="159" t="n"/>
      <c r="T80" s="117" t="n"/>
      <c r="U80" s="117" t="n"/>
      <c r="V80" s="159" t="n"/>
      <c r="W80" s="117" t="n"/>
      <c r="X80" s="117" t="n"/>
      <c r="Y80" s="117" t="n"/>
    </row>
    <row r="81">
      <c r="B81" s="117" t="n"/>
      <c r="C81" s="117" t="n"/>
      <c r="D81" s="117" t="n"/>
      <c r="E81" s="117" t="n"/>
      <c r="F81" s="117" t="n"/>
      <c r="G81" s="159" t="n"/>
      <c r="H81" s="117" t="n"/>
      <c r="I81" s="117" t="n"/>
      <c r="J81" s="159" t="n"/>
      <c r="K81" s="117" t="n"/>
      <c r="L81" s="117" t="n"/>
      <c r="M81" s="117" t="n"/>
      <c r="N81" s="159" t="n"/>
      <c r="O81" s="117" t="n"/>
      <c r="P81" s="117" t="n"/>
      <c r="Q81" s="117" t="n"/>
      <c r="R81" s="117" t="n"/>
      <c r="S81" s="159" t="n"/>
      <c r="T81" s="117" t="n"/>
      <c r="U81" s="117" t="n"/>
      <c r="V81" s="159" t="n"/>
      <c r="W81" s="117" t="n"/>
      <c r="X81" s="117" t="n"/>
      <c r="Y81" s="117" t="n"/>
    </row>
    <row r="82">
      <c r="A82" s="117" t="n"/>
      <c r="B82" s="117" t="n"/>
      <c r="C82" s="117" t="n"/>
      <c r="D82" s="117" t="n"/>
      <c r="E82" s="117" t="n"/>
      <c r="F82" s="117" t="n"/>
      <c r="G82" s="159" t="n"/>
      <c r="H82" s="117" t="n"/>
      <c r="I82" s="117" t="n"/>
      <c r="J82" s="159" t="n"/>
      <c r="K82" s="117" t="n"/>
      <c r="L82" s="117" t="n"/>
      <c r="M82" s="117" t="n"/>
      <c r="N82" s="159" t="n"/>
      <c r="O82" s="117" t="n"/>
      <c r="P82" s="117" t="n"/>
      <c r="Q82" s="117" t="n"/>
      <c r="R82" s="117" t="n"/>
      <c r="S82" s="159" t="n"/>
      <c r="V82" s="159" t="n"/>
      <c r="W82" s="117" t="n"/>
      <c r="X82" s="117" t="n"/>
      <c r="Y82" s="117"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0" min="0" max="16383" man="1"/>
  </rowBreaks>
  <colBreaks count="5" manualBreakCount="5">
    <brk id="0" min="0" max="16383" man="1"/>
    <brk id="49" min="0" max="16383" man="1"/>
    <brk id="37" min="0" max="16383" man="1"/>
    <brk id="25" min="0" max="16383" man="1"/>
    <brk id="13" min="0" max="16383" man="1"/>
  </colBreaks>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BI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7.63" customWidth="1" style="323" min="1" max="1"/>
    <col width="11.63" customWidth="1" style="323" min="5" max="5"/>
  </cols>
  <sheetData>
    <row r="1">
      <c r="A1" s="12" t="inlineStr">
        <is>
          <t>Token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36" t="inlineStr">
        <is>
          <t>Unlocked Supply</t>
        </is>
      </c>
      <c r="B2" s="117" t="n"/>
      <c r="C2" s="117" t="n"/>
      <c r="D2" s="117" t="n"/>
      <c r="E2" s="117" t="n"/>
      <c r="F2" s="117" t="n"/>
      <c r="G2" s="87" t="n"/>
      <c r="H2" s="87" t="n"/>
      <c r="I2" s="87" t="n"/>
      <c r="J2" s="87" t="n"/>
      <c r="K2" s="87" t="n"/>
      <c r="L2" s="87" t="n"/>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7" t="n"/>
      <c r="AZ2" s="87" t="n"/>
      <c r="BA2" s="87" t="n"/>
      <c r="BB2" s="87" t="n"/>
      <c r="BC2" s="87" t="n"/>
      <c r="BD2" s="87" t="n"/>
      <c r="BE2" s="87" t="n"/>
      <c r="BF2" s="87" t="n"/>
      <c r="BG2" s="87" t="n"/>
      <c r="BH2" s="87" t="n"/>
      <c r="BI2" s="161" t="n"/>
    </row>
    <row r="3">
      <c r="A3" s="38" t="inlineStr">
        <is>
          <t>RealGold Treasury</t>
        </is>
      </c>
      <c r="B3" s="117" t="n">
        <v>0</v>
      </c>
      <c r="C3" s="117" t="n">
        <v>0</v>
      </c>
      <c r="D3" s="117" t="n">
        <v>0</v>
      </c>
      <c r="E3" s="117" t="n">
        <v>0</v>
      </c>
      <c r="F3" s="117" t="n">
        <v>0</v>
      </c>
      <c r="G3" s="100">
        <f>'Resource Supply (5yr)'!G14</f>
        <v/>
      </c>
      <c r="H3" s="100">
        <f>'Resource Supply (5yr)'!H14</f>
        <v/>
      </c>
      <c r="I3" s="100" t="n">
        <v>0</v>
      </c>
      <c r="J3" s="87">
        <f>'Resource Supply (5yr)'!J11</f>
        <v/>
      </c>
      <c r="K3" s="100" t="n">
        <v>0</v>
      </c>
      <c r="L3" s="87">
        <f>'Resource Supply (5yr)'!L11</f>
        <v/>
      </c>
      <c r="M3" s="100">
        <f>'Resource Supply (5yr)'!M14</f>
        <v/>
      </c>
      <c r="N3" s="87">
        <f>'Resource Supply (5yr)'!N14</f>
        <v/>
      </c>
      <c r="O3" s="87">
        <f>'Resource Supply (5yr)'!O14</f>
        <v/>
      </c>
      <c r="P3" s="87">
        <f>'Resource Supply (5yr)'!P14</f>
        <v/>
      </c>
      <c r="Q3" s="87">
        <f>'Resource Supply (5yr)'!Q14</f>
        <v/>
      </c>
      <c r="R3" s="87">
        <f>'Resource Supply (5yr)'!R14</f>
        <v/>
      </c>
      <c r="S3" s="87">
        <f>'Resource Supply (5yr)'!S14</f>
        <v/>
      </c>
      <c r="T3" s="87">
        <f>'Resource Supply (5yr)'!T14</f>
        <v/>
      </c>
      <c r="U3" s="87">
        <f>'Resource Supply (5yr)'!U14</f>
        <v/>
      </c>
      <c r="V3" s="87">
        <f>'Resource Supply (5yr)'!V14</f>
        <v/>
      </c>
      <c r="W3" s="87">
        <f>'Resource Supply (5yr)'!W14</f>
        <v/>
      </c>
      <c r="X3" s="87">
        <f>'Resource Supply (5yr)'!X14</f>
        <v/>
      </c>
      <c r="Y3" s="87">
        <f>'Resource Supply (5yr)'!Y14</f>
        <v/>
      </c>
      <c r="Z3" s="87">
        <f>'Resource Supply (5yr)'!Z14</f>
        <v/>
      </c>
      <c r="AA3" s="87">
        <f>'Resource Supply (5yr)'!AA14</f>
        <v/>
      </c>
      <c r="AB3" s="87">
        <f>'Resource Supply (5yr)'!AB14</f>
        <v/>
      </c>
      <c r="AC3" s="87">
        <f>'Resource Supply (5yr)'!AC14</f>
        <v/>
      </c>
      <c r="AD3" s="87">
        <f>'Resource Supply (5yr)'!AD14</f>
        <v/>
      </c>
      <c r="AE3" s="87">
        <f>'Resource Supply (5yr)'!AE14</f>
        <v/>
      </c>
      <c r="AF3" s="87">
        <f>'Resource Supply (5yr)'!AF14</f>
        <v/>
      </c>
      <c r="AG3" s="87">
        <f>'Resource Supply (5yr)'!AG14</f>
        <v/>
      </c>
      <c r="AH3" s="87">
        <f>'Resource Supply (5yr)'!AH14</f>
        <v/>
      </c>
      <c r="AI3" s="87">
        <f>'Resource Supply (5yr)'!AI14</f>
        <v/>
      </c>
      <c r="AJ3" s="87">
        <f>'Resource Supply (5yr)'!AJ14</f>
        <v/>
      </c>
      <c r="AK3" s="87">
        <f>'Resource Supply (5yr)'!AK14</f>
        <v/>
      </c>
      <c r="AL3" s="87">
        <f>'Resource Supply (5yr)'!AL14</f>
        <v/>
      </c>
      <c r="AM3" s="87">
        <f>'Resource Supply (5yr)'!AM14</f>
        <v/>
      </c>
      <c r="AN3" s="87">
        <f>'Resource Supply (5yr)'!AN14</f>
        <v/>
      </c>
      <c r="AO3" s="87">
        <f>'Resource Supply (5yr)'!AO14</f>
        <v/>
      </c>
      <c r="AP3" s="87">
        <f>'Resource Supply (5yr)'!AP14</f>
        <v/>
      </c>
      <c r="AQ3" s="87">
        <f>'Resource Supply (5yr)'!AQ14</f>
        <v/>
      </c>
      <c r="AR3" s="87">
        <f>'Resource Supply (5yr)'!AR14</f>
        <v/>
      </c>
      <c r="AS3" s="87">
        <f>'Resource Supply (5yr)'!AS14</f>
        <v/>
      </c>
      <c r="AT3" s="87">
        <f>'Resource Supply (5yr)'!AT14</f>
        <v/>
      </c>
      <c r="AU3" s="87">
        <f>'Resource Supply (5yr)'!AU14</f>
        <v/>
      </c>
      <c r="AV3" s="87">
        <f>'Resource Supply (5yr)'!AV14</f>
        <v/>
      </c>
      <c r="AW3" s="87">
        <f>'Resource Supply (5yr)'!AW14</f>
        <v/>
      </c>
      <c r="AX3" s="87">
        <f>'Resource Supply (5yr)'!AX14</f>
        <v/>
      </c>
      <c r="AY3" s="87">
        <f>'Resource Supply (5yr)'!AY14</f>
        <v/>
      </c>
      <c r="AZ3" s="87">
        <f>'Resource Supply (5yr)'!AZ14</f>
        <v/>
      </c>
      <c r="BA3" s="87">
        <f>'Resource Supply (5yr)'!BA14</f>
        <v/>
      </c>
      <c r="BB3" s="87">
        <f>'Resource Supply (5yr)'!BB14</f>
        <v/>
      </c>
      <c r="BC3" s="87">
        <f>'Resource Supply (5yr)'!BC14</f>
        <v/>
      </c>
      <c r="BD3" s="87">
        <f>'Resource Supply (5yr)'!BD14</f>
        <v/>
      </c>
      <c r="BE3" s="87">
        <f>'Resource Supply (5yr)'!BE14</f>
        <v/>
      </c>
      <c r="BF3" s="87">
        <f>'Resource Supply (5yr)'!BF14</f>
        <v/>
      </c>
      <c r="BG3" s="87">
        <f>'Resource Supply (5yr)'!BG14</f>
        <v/>
      </c>
      <c r="BH3" s="87">
        <f>'Resource Supply (5yr)'!BH14</f>
        <v/>
      </c>
      <c r="BI3" s="161">
        <f>'Resource Supply (5yr)'!BI14</f>
        <v/>
      </c>
    </row>
    <row r="4">
      <c r="A4" s="38" t="inlineStr">
        <is>
          <t>Courbet Mine</t>
        </is>
      </c>
      <c r="B4" s="117" t="n">
        <v>0</v>
      </c>
      <c r="C4" s="117" t="n">
        <v>0</v>
      </c>
      <c r="D4" s="117" t="n">
        <v>0</v>
      </c>
      <c r="E4" s="117" t="n">
        <v>0</v>
      </c>
      <c r="F4" s="117" t="n">
        <v>0</v>
      </c>
      <c r="G4" s="100">
        <f>('Resource Supply (5yr)'!G7-'Resource Supply (5yr)'!G10)*'Mine Inventory'!AF2</f>
        <v/>
      </c>
      <c r="H4" s="100" t="n">
        <v>0</v>
      </c>
      <c r="I4" s="100" t="n">
        <v>0</v>
      </c>
      <c r="J4" s="87" t="n">
        <v>0</v>
      </c>
      <c r="K4" s="100" t="n">
        <v>0</v>
      </c>
      <c r="L4" s="100" t="n">
        <v>0</v>
      </c>
      <c r="M4" s="100" t="n">
        <v>0</v>
      </c>
      <c r="N4" s="87" t="n">
        <v>0</v>
      </c>
      <c r="O4" s="87" t="n">
        <v>0</v>
      </c>
      <c r="P4" s="87" t="n">
        <v>0</v>
      </c>
      <c r="Q4" s="87" t="n">
        <v>0</v>
      </c>
      <c r="R4" s="87" t="n">
        <v>0</v>
      </c>
      <c r="S4" s="87">
        <f>('Resource Supply (5yr)'!S7-'Resource Supply (5yr)'!S10)*'Mine Inventory'!AF2</f>
        <v/>
      </c>
      <c r="T4" s="87" t="n">
        <v>0</v>
      </c>
      <c r="U4" s="87" t="n">
        <v>0</v>
      </c>
      <c r="V4" s="87" t="n">
        <v>0</v>
      </c>
      <c r="W4" s="87" t="n">
        <v>0</v>
      </c>
      <c r="X4" s="87" t="n">
        <v>0</v>
      </c>
      <c r="Y4" s="87" t="n">
        <v>0</v>
      </c>
      <c r="Z4" s="87" t="n">
        <v>0</v>
      </c>
      <c r="AA4" s="87" t="n">
        <v>0</v>
      </c>
      <c r="AB4" s="87" t="n">
        <v>0</v>
      </c>
      <c r="AC4" s="87" t="n">
        <v>0</v>
      </c>
      <c r="AD4" s="87" t="n">
        <v>0</v>
      </c>
      <c r="AE4" s="87">
        <f>('Resource Supply (5yr)'!S7-'Resource Supply (5yr)'!S10)*'Mine Inventory'!AF2</f>
        <v/>
      </c>
      <c r="AF4" s="87" t="n">
        <v>0</v>
      </c>
      <c r="AG4" s="87" t="n">
        <v>0</v>
      </c>
      <c r="AH4" s="87" t="n">
        <v>0</v>
      </c>
      <c r="AI4" s="87" t="n">
        <v>0</v>
      </c>
      <c r="AJ4" s="87" t="n">
        <v>0</v>
      </c>
      <c r="AK4" s="87" t="n">
        <v>0</v>
      </c>
      <c r="AL4" s="87" t="n">
        <v>0</v>
      </c>
      <c r="AM4" s="87" t="n">
        <v>0</v>
      </c>
      <c r="AN4" s="87" t="n">
        <v>0</v>
      </c>
      <c r="AO4" s="87" t="n">
        <v>0</v>
      </c>
      <c r="AP4" s="87" t="n">
        <v>0</v>
      </c>
      <c r="AQ4" s="87">
        <f>('Resource Supply (5yr)'!S7-'Resource Supply (5yr)'!S10)*'Mine Inventory'!AF2</f>
        <v/>
      </c>
      <c r="AR4" s="87" t="n">
        <v>0</v>
      </c>
      <c r="AS4" s="87" t="n">
        <v>0</v>
      </c>
      <c r="AT4" s="87" t="n">
        <v>0</v>
      </c>
      <c r="AU4" s="87" t="n">
        <v>0</v>
      </c>
      <c r="AV4" s="87" t="n">
        <v>0</v>
      </c>
      <c r="AW4" s="87" t="n">
        <v>0</v>
      </c>
      <c r="AX4" s="87" t="n">
        <v>0</v>
      </c>
      <c r="AY4" s="87" t="n">
        <v>0</v>
      </c>
      <c r="AZ4" s="87" t="n">
        <v>0</v>
      </c>
      <c r="BA4" s="87" t="n">
        <v>0</v>
      </c>
      <c r="BB4" s="87" t="n">
        <v>0</v>
      </c>
      <c r="BC4" s="87">
        <f>('Resource Supply (5yr)'!S7-'Resource Supply (5yr)'!S10)*'Mine Inventory'!AF2</f>
        <v/>
      </c>
      <c r="BD4" s="87" t="n">
        <v>0</v>
      </c>
      <c r="BE4" s="87" t="n">
        <v>0</v>
      </c>
      <c r="BF4" s="87" t="n">
        <v>0</v>
      </c>
      <c r="BG4" s="87" t="n">
        <v>0</v>
      </c>
      <c r="BH4" s="87" t="n">
        <v>0</v>
      </c>
      <c r="BI4" s="161" t="n">
        <v>0</v>
      </c>
    </row>
    <row r="5">
      <c r="A5" s="38" t="inlineStr">
        <is>
          <t>Mine 2</t>
        </is>
      </c>
      <c r="B5" s="117" t="n">
        <v>0</v>
      </c>
      <c r="C5" s="117" t="n">
        <v>0</v>
      </c>
      <c r="D5" s="117" t="n">
        <v>0</v>
      </c>
      <c r="E5" s="117" t="n">
        <v>0</v>
      </c>
      <c r="F5" s="117" t="n">
        <v>0</v>
      </c>
      <c r="G5" s="100" t="n">
        <v>0</v>
      </c>
      <c r="H5" s="100" t="n">
        <v>0</v>
      </c>
      <c r="I5" s="100" t="n">
        <v>0</v>
      </c>
      <c r="J5" s="100">
        <f>('Resource Supply (5yr)'!J7-'Resource Supply (5yr)'!J10)*'Mine Inventory'!AF2</f>
        <v/>
      </c>
      <c r="K5" s="100" t="n">
        <v>0</v>
      </c>
      <c r="L5" s="100" t="n">
        <v>0</v>
      </c>
      <c r="M5" s="100" t="n">
        <v>0</v>
      </c>
      <c r="N5" s="87" t="n">
        <v>0</v>
      </c>
      <c r="O5" s="87" t="n">
        <v>0</v>
      </c>
      <c r="P5" s="87" t="n">
        <v>0</v>
      </c>
      <c r="Q5" s="87" t="n">
        <v>0</v>
      </c>
      <c r="R5" s="87" t="n">
        <v>0</v>
      </c>
      <c r="S5" s="87" t="n">
        <v>0</v>
      </c>
      <c r="T5" s="87" t="n">
        <v>0</v>
      </c>
      <c r="U5" s="87" t="n">
        <v>0</v>
      </c>
      <c r="V5" s="87">
        <f>('Mine Inventory'!W3-'Resource Supply (5yr)'!V10)*'Mine Inventory'!AF3</f>
        <v/>
      </c>
      <c r="W5" s="87" t="n">
        <v>0</v>
      </c>
      <c r="X5" s="87" t="n">
        <v>0</v>
      </c>
      <c r="Y5" s="87" t="n">
        <v>0</v>
      </c>
      <c r="Z5" s="87" t="n">
        <v>0</v>
      </c>
      <c r="AA5" s="87" t="n">
        <v>0</v>
      </c>
      <c r="AB5" s="87" t="n">
        <v>0</v>
      </c>
      <c r="AC5" s="87" t="n">
        <v>0</v>
      </c>
      <c r="AD5" s="87" t="n">
        <v>0</v>
      </c>
      <c r="AE5" s="87" t="n">
        <v>0</v>
      </c>
      <c r="AF5" s="87" t="n">
        <v>0</v>
      </c>
      <c r="AG5" s="87" t="n">
        <v>0</v>
      </c>
      <c r="AH5" s="87">
        <f>('Mine Inventory'!W3-'Resource Supply (5yr)'!V10)*'Mine Inventory'!AF3</f>
        <v/>
      </c>
      <c r="AI5" s="87" t="n">
        <v>0</v>
      </c>
      <c r="AJ5" s="87" t="n">
        <v>0</v>
      </c>
      <c r="AK5" s="87" t="n">
        <v>0</v>
      </c>
      <c r="AL5" s="87" t="n">
        <v>0</v>
      </c>
      <c r="AM5" s="87" t="n">
        <v>0</v>
      </c>
      <c r="AN5" s="87" t="n">
        <v>0</v>
      </c>
      <c r="AO5" s="87" t="n">
        <v>0</v>
      </c>
      <c r="AP5" s="87" t="n">
        <v>0</v>
      </c>
      <c r="AQ5" s="87" t="n">
        <v>0</v>
      </c>
      <c r="AR5" s="87" t="n">
        <v>0</v>
      </c>
      <c r="AS5" s="87" t="n">
        <v>0</v>
      </c>
      <c r="AT5" s="87">
        <f>('Mine Inventory'!W3-'Resource Supply (5yr)'!V10)*'Mine Inventory'!AF3</f>
        <v/>
      </c>
      <c r="AU5" s="87" t="n">
        <v>0</v>
      </c>
      <c r="AV5" s="87" t="n">
        <v>0</v>
      </c>
      <c r="AW5" s="87" t="n">
        <v>0</v>
      </c>
      <c r="AX5" s="87" t="n">
        <v>0</v>
      </c>
      <c r="AY5" s="87" t="n">
        <v>0</v>
      </c>
      <c r="AZ5" s="87" t="n">
        <v>0</v>
      </c>
      <c r="BA5" s="87" t="n">
        <v>0</v>
      </c>
      <c r="BB5" s="87" t="n">
        <v>0</v>
      </c>
      <c r="BC5" s="87" t="n">
        <v>0</v>
      </c>
      <c r="BD5" s="87" t="n">
        <v>0</v>
      </c>
      <c r="BE5" s="87" t="n">
        <v>0</v>
      </c>
      <c r="BF5" s="87">
        <f>('Mine Inventory'!W3-'Resource Supply (5yr)'!V10)*'Mine Inventory'!AF3</f>
        <v/>
      </c>
      <c r="BG5" s="87" t="n">
        <v>0</v>
      </c>
      <c r="BH5" s="87" t="n">
        <v>0</v>
      </c>
      <c r="BI5" s="161" t="n">
        <v>0</v>
      </c>
    </row>
    <row r="6">
      <c r="A6" s="38" t="inlineStr">
        <is>
          <t>Mine 3</t>
        </is>
      </c>
      <c r="B6" s="117" t="n">
        <v>0</v>
      </c>
      <c r="C6" s="117" t="n">
        <v>0</v>
      </c>
      <c r="D6" s="117" t="n">
        <v>0</v>
      </c>
      <c r="E6" s="117" t="n">
        <v>0</v>
      </c>
      <c r="F6" s="117" t="n">
        <v>0</v>
      </c>
      <c r="G6" s="100" t="n">
        <v>0</v>
      </c>
      <c r="H6" s="100" t="n">
        <v>0</v>
      </c>
      <c r="I6" s="100" t="n">
        <v>0</v>
      </c>
      <c r="J6" s="100" t="n">
        <v>0</v>
      </c>
      <c r="K6" s="100" t="n">
        <v>0</v>
      </c>
      <c r="L6" s="100" t="n">
        <v>0</v>
      </c>
      <c r="M6" s="100" t="n">
        <v>0</v>
      </c>
      <c r="N6" s="87">
        <f>'Resource Supply (5yr)'!L16+('Resource Supply (5yr)'!N7-'Resource Supply (5yr)'!N10)*'Mine Inventory'!AF4</f>
        <v/>
      </c>
      <c r="O6" s="87" t="n">
        <v>0</v>
      </c>
      <c r="P6" s="87" t="n">
        <v>0</v>
      </c>
      <c r="Q6" s="87" t="n">
        <v>0</v>
      </c>
      <c r="R6" s="87" t="n">
        <v>0</v>
      </c>
      <c r="S6" s="87" t="n">
        <v>0</v>
      </c>
      <c r="T6" s="87" t="n">
        <v>0</v>
      </c>
      <c r="U6" s="87" t="n">
        <v>0</v>
      </c>
      <c r="V6" s="87" t="n">
        <v>0</v>
      </c>
      <c r="W6" s="87" t="n">
        <v>0</v>
      </c>
      <c r="X6" s="87" t="n">
        <v>0</v>
      </c>
      <c r="Y6" s="87" t="n">
        <v>0</v>
      </c>
      <c r="Z6" s="87">
        <f>('Resource Supply (5yr)'!Z7-'Resource Supply (5yr)'!Z10)*'Mine Inventory'!AF4</f>
        <v/>
      </c>
      <c r="AA6" s="87" t="n">
        <v>0</v>
      </c>
      <c r="AB6" s="87" t="n">
        <v>0</v>
      </c>
      <c r="AC6" s="87" t="n">
        <v>0</v>
      </c>
      <c r="AD6" s="87" t="n">
        <v>0</v>
      </c>
      <c r="AE6" s="87" t="n">
        <v>0</v>
      </c>
      <c r="AF6" s="87" t="n">
        <v>0</v>
      </c>
      <c r="AG6" s="87" t="n">
        <v>0</v>
      </c>
      <c r="AH6" s="87" t="n">
        <v>0</v>
      </c>
      <c r="AI6" s="87" t="n">
        <v>0</v>
      </c>
      <c r="AJ6" s="87" t="n">
        <v>0</v>
      </c>
      <c r="AK6" s="87" t="n">
        <v>0</v>
      </c>
      <c r="AL6" s="87">
        <f>('Resource Supply (5yr)'!AL7-'Resource Supply (5yr)'!AL10)*'Mine Inventory'!AF4</f>
        <v/>
      </c>
      <c r="AM6" s="87" t="n">
        <v>0</v>
      </c>
      <c r="AN6" s="87" t="n">
        <v>0</v>
      </c>
      <c r="AO6" s="87" t="n">
        <v>0</v>
      </c>
      <c r="AP6" s="87" t="n">
        <v>0</v>
      </c>
      <c r="AQ6" s="87" t="n">
        <v>0</v>
      </c>
      <c r="AR6" s="87" t="n">
        <v>0</v>
      </c>
      <c r="AS6" s="87" t="n">
        <v>0</v>
      </c>
      <c r="AT6" s="87" t="n">
        <v>0</v>
      </c>
      <c r="AU6" s="87" t="n">
        <v>0</v>
      </c>
      <c r="AV6" s="87" t="n">
        <v>0</v>
      </c>
      <c r="AW6" s="87" t="n">
        <v>0</v>
      </c>
      <c r="AX6" s="87">
        <f>('Resource Supply (5yr)'!AX7-'Resource Supply (5yr)'!AX10)*'Mine Inventory'!AF4</f>
        <v/>
      </c>
      <c r="AY6" s="87" t="n">
        <v>0</v>
      </c>
      <c r="AZ6" s="87" t="n">
        <v>0</v>
      </c>
      <c r="BA6" s="87" t="n">
        <v>0</v>
      </c>
      <c r="BB6" s="87" t="n">
        <v>0</v>
      </c>
      <c r="BC6" s="87" t="n">
        <v>0</v>
      </c>
      <c r="BD6" s="87" t="n">
        <v>0</v>
      </c>
      <c r="BE6" s="87" t="n">
        <v>0</v>
      </c>
      <c r="BF6" s="87" t="n">
        <v>0</v>
      </c>
      <c r="BG6" s="87" t="n">
        <v>0</v>
      </c>
      <c r="BH6" s="87" t="n">
        <v>0</v>
      </c>
      <c r="BI6" s="161" t="n">
        <v>0</v>
      </c>
    </row>
    <row r="7">
      <c r="A7" s="38" t="inlineStr">
        <is>
          <t>Mine 4</t>
        </is>
      </c>
      <c r="B7" s="117" t="n">
        <v>0</v>
      </c>
      <c r="C7" s="117" t="n">
        <v>0</v>
      </c>
      <c r="D7" s="117" t="n">
        <v>0</v>
      </c>
      <c r="E7" s="117" t="n">
        <v>0</v>
      </c>
      <c r="F7" s="117" t="n">
        <v>0</v>
      </c>
      <c r="G7" s="100" t="n">
        <v>0</v>
      </c>
      <c r="H7" s="100" t="n">
        <v>0</v>
      </c>
      <c r="I7" s="100" t="n">
        <v>0</v>
      </c>
      <c r="J7" s="100" t="n">
        <v>0</v>
      </c>
      <c r="K7" s="100" t="n">
        <v>0</v>
      </c>
      <c r="L7" s="100" t="n">
        <v>0</v>
      </c>
      <c r="M7" s="100" t="n">
        <v>0</v>
      </c>
      <c r="N7" s="87" t="n">
        <v>0</v>
      </c>
      <c r="O7" s="87" t="n">
        <v>0</v>
      </c>
      <c r="P7" s="87" t="n">
        <v>0</v>
      </c>
      <c r="Q7" s="87">
        <f>('Resource Supply (5yr)'!Q7-'Resource Supply (5yr)'!Q10)*'Mine Inventory'!AF5</f>
        <v/>
      </c>
      <c r="R7" s="87" t="n">
        <v>0</v>
      </c>
      <c r="S7" s="87" t="n">
        <v>0</v>
      </c>
      <c r="T7" s="87" t="n">
        <v>0</v>
      </c>
      <c r="U7" s="87" t="n">
        <v>0</v>
      </c>
      <c r="V7" s="87" t="n">
        <v>0</v>
      </c>
      <c r="W7" s="87" t="n">
        <v>0</v>
      </c>
      <c r="X7" s="87" t="n">
        <v>0</v>
      </c>
      <c r="Y7" s="87" t="n">
        <v>0</v>
      </c>
      <c r="Z7" s="87" t="n">
        <v>0</v>
      </c>
      <c r="AA7" s="87" t="n">
        <v>0</v>
      </c>
      <c r="AB7" s="87" t="n">
        <v>0</v>
      </c>
      <c r="AC7" s="87">
        <f>('Resource Supply (5yr)'!AC7-'Resource Supply (5yr)'!AC10)*'Mine Inventory'!AF5</f>
        <v/>
      </c>
      <c r="AD7" s="87" t="n">
        <v>0</v>
      </c>
      <c r="AE7" s="87" t="n">
        <v>0</v>
      </c>
      <c r="AF7" s="87" t="n">
        <v>0</v>
      </c>
      <c r="AG7" s="87" t="n">
        <v>0</v>
      </c>
      <c r="AH7" s="87" t="n">
        <v>0</v>
      </c>
      <c r="AI7" s="87" t="n">
        <v>0</v>
      </c>
      <c r="AJ7" s="87" t="n">
        <v>0</v>
      </c>
      <c r="AK7" s="87" t="n">
        <v>0</v>
      </c>
      <c r="AL7" s="87" t="n">
        <v>0</v>
      </c>
      <c r="AM7" s="87" t="n">
        <v>0</v>
      </c>
      <c r="AN7" s="87" t="n">
        <v>0</v>
      </c>
      <c r="AO7" s="87">
        <f>('Resource Supply (5yr)'!AO7-'Resource Supply (5yr)'!AO10)*'Mine Inventory'!AF5</f>
        <v/>
      </c>
      <c r="AP7" s="87" t="n">
        <v>0</v>
      </c>
      <c r="AQ7" s="87" t="n">
        <v>0</v>
      </c>
      <c r="AR7" s="87" t="n">
        <v>0</v>
      </c>
      <c r="AS7" s="87" t="n">
        <v>0</v>
      </c>
      <c r="AT7" s="87" t="n">
        <v>0</v>
      </c>
      <c r="AU7" s="87" t="n">
        <v>0</v>
      </c>
      <c r="AV7" s="87" t="n">
        <v>0</v>
      </c>
      <c r="AW7" s="87" t="n">
        <v>0</v>
      </c>
      <c r="AX7" s="87" t="n">
        <v>0</v>
      </c>
      <c r="AY7" s="87" t="n">
        <v>0</v>
      </c>
      <c r="AZ7" s="87" t="n">
        <v>0</v>
      </c>
      <c r="BA7" s="87">
        <f>('Resource Supply (5yr)'!BA7-'Resource Supply (5yr)'!BA10)*'Mine Inventory'!AF5</f>
        <v/>
      </c>
      <c r="BB7" s="87" t="n">
        <v>0</v>
      </c>
      <c r="BC7" s="87" t="n">
        <v>0</v>
      </c>
      <c r="BD7" s="87" t="n">
        <v>0</v>
      </c>
      <c r="BE7" s="87" t="n">
        <v>0</v>
      </c>
      <c r="BF7" s="87" t="n">
        <v>0</v>
      </c>
      <c r="BG7" s="87" t="n">
        <v>0</v>
      </c>
      <c r="BH7" s="87" t="n">
        <v>0</v>
      </c>
      <c r="BI7" s="161" t="n">
        <v>0</v>
      </c>
    </row>
    <row r="8">
      <c r="A8" s="38" t="inlineStr">
        <is>
          <t>Mine 5</t>
        </is>
      </c>
      <c r="B8" s="117" t="n">
        <v>0</v>
      </c>
      <c r="C8" s="117" t="n">
        <v>0</v>
      </c>
      <c r="D8" s="117" t="n">
        <v>0</v>
      </c>
      <c r="E8" s="117" t="n">
        <v>0</v>
      </c>
      <c r="F8" s="117" t="n">
        <v>0</v>
      </c>
      <c r="G8" s="100" t="n">
        <v>0</v>
      </c>
      <c r="H8" s="100" t="n">
        <v>0</v>
      </c>
      <c r="I8" s="100" t="n">
        <v>0</v>
      </c>
      <c r="J8" s="100" t="n">
        <v>0</v>
      </c>
      <c r="K8" s="100" t="n">
        <v>0</v>
      </c>
      <c r="L8" s="100" t="n">
        <v>0</v>
      </c>
      <c r="M8" s="100" t="n">
        <v>0</v>
      </c>
      <c r="N8" s="87" t="n">
        <v>0</v>
      </c>
      <c r="O8" s="87" t="n">
        <v>0</v>
      </c>
      <c r="P8" s="87" t="n">
        <v>0</v>
      </c>
      <c r="Q8" s="87" t="n">
        <v>0</v>
      </c>
      <c r="R8" s="87" t="n">
        <v>0</v>
      </c>
      <c r="S8" s="87" t="n">
        <v>0</v>
      </c>
      <c r="T8" s="87">
        <f>('Resource Supply (5yr)'!T7-'Resource Supply (5yr)'!T10)*'Mine Inventory'!AF6</f>
        <v/>
      </c>
      <c r="U8" s="87" t="n">
        <v>0</v>
      </c>
      <c r="V8" s="87" t="n">
        <v>0</v>
      </c>
      <c r="W8" s="87" t="n">
        <v>0</v>
      </c>
      <c r="X8" s="87" t="n">
        <v>0</v>
      </c>
      <c r="Y8" s="87" t="n">
        <v>0</v>
      </c>
      <c r="Z8" s="87" t="n">
        <v>0</v>
      </c>
      <c r="AA8" s="87" t="n">
        <v>0</v>
      </c>
      <c r="AB8" s="87" t="n">
        <v>0</v>
      </c>
      <c r="AC8" s="87" t="n">
        <v>0</v>
      </c>
      <c r="AD8" s="87" t="n">
        <v>0</v>
      </c>
      <c r="AE8" s="87" t="n">
        <v>0</v>
      </c>
      <c r="AF8" s="87">
        <f>('Resource Supply (5yr)'!AF7-'Resource Supply (5yr)'!AF10)*'Mine Inventory'!AF6</f>
        <v/>
      </c>
      <c r="AG8" s="87" t="n">
        <v>0</v>
      </c>
      <c r="AH8" s="87" t="n">
        <v>0</v>
      </c>
      <c r="AI8" s="87" t="n">
        <v>0</v>
      </c>
      <c r="AJ8" s="87" t="n">
        <v>0</v>
      </c>
      <c r="AK8" s="87" t="n">
        <v>0</v>
      </c>
      <c r="AL8" s="87" t="n">
        <v>0</v>
      </c>
      <c r="AM8" s="87" t="n">
        <v>0</v>
      </c>
      <c r="AN8" s="87" t="n">
        <v>0</v>
      </c>
      <c r="AO8" s="87" t="n">
        <v>0</v>
      </c>
      <c r="AP8" s="87" t="n">
        <v>0</v>
      </c>
      <c r="AQ8" s="87" t="n">
        <v>0</v>
      </c>
      <c r="AR8" s="87">
        <f>('Resource Supply (5yr)'!AR7-'Resource Supply (5yr)'!AR10)*'Mine Inventory'!AF6</f>
        <v/>
      </c>
      <c r="AS8" s="87" t="n">
        <v>0</v>
      </c>
      <c r="AT8" s="87" t="n">
        <v>0</v>
      </c>
      <c r="AU8" s="87" t="n">
        <v>0</v>
      </c>
      <c r="AV8" s="87" t="n">
        <v>0</v>
      </c>
      <c r="AW8" s="87" t="n">
        <v>0</v>
      </c>
      <c r="AX8" s="87" t="n">
        <v>0</v>
      </c>
      <c r="AY8" s="87" t="n">
        <v>0</v>
      </c>
      <c r="AZ8" s="87" t="n">
        <v>0</v>
      </c>
      <c r="BA8" s="87" t="n">
        <v>0</v>
      </c>
      <c r="BB8" s="87" t="n">
        <v>0</v>
      </c>
      <c r="BC8" s="87" t="n">
        <v>0</v>
      </c>
      <c r="BD8" s="87">
        <f>('Resource Supply (5yr)'!BD7-'Resource Supply (5yr)'!BD10)*'Mine Inventory'!AF6</f>
        <v/>
      </c>
      <c r="BE8" s="87" t="n">
        <v>0</v>
      </c>
      <c r="BF8" s="87" t="n">
        <v>0</v>
      </c>
      <c r="BG8" s="87" t="n">
        <v>0</v>
      </c>
      <c r="BH8" s="87" t="n">
        <v>0</v>
      </c>
      <c r="BI8" s="161" t="n">
        <v>0</v>
      </c>
    </row>
    <row r="9">
      <c r="A9" s="38" t="inlineStr">
        <is>
          <t>Mine 6</t>
        </is>
      </c>
      <c r="B9" s="117" t="n">
        <v>0</v>
      </c>
      <c r="C9" s="117" t="n">
        <v>0</v>
      </c>
      <c r="D9" s="117" t="n">
        <v>0</v>
      </c>
      <c r="E9" s="117" t="n">
        <v>0</v>
      </c>
      <c r="F9" s="117" t="n">
        <v>0</v>
      </c>
      <c r="G9" s="100" t="n">
        <v>0</v>
      </c>
      <c r="H9" s="100" t="n">
        <v>0</v>
      </c>
      <c r="I9" s="100" t="n">
        <v>0</v>
      </c>
      <c r="J9" s="100" t="n">
        <v>0</v>
      </c>
      <c r="K9" s="100" t="n">
        <v>0</v>
      </c>
      <c r="L9" s="100" t="n">
        <v>0</v>
      </c>
      <c r="M9" s="100" t="n">
        <v>0</v>
      </c>
      <c r="N9" s="87" t="n">
        <v>0</v>
      </c>
      <c r="O9" s="87" t="n">
        <v>0</v>
      </c>
      <c r="P9" s="87" t="n">
        <v>0</v>
      </c>
      <c r="Q9" s="87" t="n">
        <v>0</v>
      </c>
      <c r="R9" s="87" t="n">
        <v>0</v>
      </c>
      <c r="S9" s="87" t="n">
        <v>0</v>
      </c>
      <c r="T9" s="87" t="n">
        <v>0</v>
      </c>
      <c r="U9" s="87" t="n">
        <v>0</v>
      </c>
      <c r="V9" s="87" t="n">
        <v>0</v>
      </c>
      <c r="W9" s="87" t="n">
        <v>0</v>
      </c>
      <c r="X9" s="87" t="n">
        <v>0</v>
      </c>
      <c r="Y9" s="87">
        <f>('Resource Supply (5yr)'!Y7-'Resource Supply (5yr)'!Y10)*'Mine Inventory'!AF7</f>
        <v/>
      </c>
      <c r="Z9" s="87" t="n">
        <v>0</v>
      </c>
      <c r="AA9" s="87" t="n">
        <v>0</v>
      </c>
      <c r="AB9" s="87" t="n">
        <v>0</v>
      </c>
      <c r="AC9" s="87" t="n">
        <v>0</v>
      </c>
      <c r="AD9" s="87" t="n">
        <v>0</v>
      </c>
      <c r="AE9" s="87" t="n">
        <v>0</v>
      </c>
      <c r="AF9" s="87" t="n">
        <v>0</v>
      </c>
      <c r="AG9" s="87" t="n">
        <v>0</v>
      </c>
      <c r="AH9" s="87" t="n">
        <v>0</v>
      </c>
      <c r="AI9" s="87" t="n">
        <v>0</v>
      </c>
      <c r="AJ9" s="87" t="n">
        <v>0</v>
      </c>
      <c r="AK9" s="87">
        <f>('Resource Supply (5yr)'!AK7-'Resource Supply (5yr)'!AK10)*'Mine Inventory'!AF7</f>
        <v/>
      </c>
      <c r="AL9" s="87" t="n">
        <v>0</v>
      </c>
      <c r="AM9" s="87" t="n">
        <v>0</v>
      </c>
      <c r="AN9" s="87" t="n">
        <v>0</v>
      </c>
      <c r="AO9" s="87" t="n">
        <v>0</v>
      </c>
      <c r="AP9" s="87" t="n">
        <v>0</v>
      </c>
      <c r="AQ9" s="87" t="n">
        <v>0</v>
      </c>
      <c r="AR9" s="87" t="n">
        <v>0</v>
      </c>
      <c r="AS9" s="87" t="n">
        <v>0</v>
      </c>
      <c r="AT9" s="87" t="n">
        <v>0</v>
      </c>
      <c r="AU9" s="87" t="n">
        <v>0</v>
      </c>
      <c r="AV9" s="87" t="n">
        <v>0</v>
      </c>
      <c r="AW9" s="87">
        <f>('Resource Supply (5yr)'!AW7-'Resource Supply (5yr)'!AW10)*'Mine Inventory'!AF7</f>
        <v/>
      </c>
      <c r="AX9" s="87" t="n">
        <v>0</v>
      </c>
      <c r="AY9" s="87" t="n">
        <v>0</v>
      </c>
      <c r="AZ9" s="87" t="n">
        <v>0</v>
      </c>
      <c r="BA9" s="87" t="n">
        <v>0</v>
      </c>
      <c r="BB9" s="87" t="n">
        <v>0</v>
      </c>
      <c r="BC9" s="87" t="n">
        <v>0</v>
      </c>
      <c r="BD9" s="87" t="n">
        <v>0</v>
      </c>
      <c r="BE9" s="87" t="n">
        <v>0</v>
      </c>
      <c r="BF9" s="87" t="n">
        <v>0</v>
      </c>
      <c r="BG9" s="87" t="n">
        <v>0</v>
      </c>
      <c r="BH9" s="87" t="n">
        <v>0</v>
      </c>
      <c r="BI9" s="161">
        <f>('Resource Supply (5yr)'!BI7-'Resource Supply (5yr)'!BI10)*'Mine Inventory'!AF7</f>
        <v/>
      </c>
    </row>
    <row r="10">
      <c r="A10" s="38" t="inlineStr">
        <is>
          <t>Mine 7</t>
        </is>
      </c>
      <c r="B10" s="117" t="n">
        <v>0</v>
      </c>
      <c r="C10" s="117" t="n">
        <v>0</v>
      </c>
      <c r="D10" s="117" t="n">
        <v>0</v>
      </c>
      <c r="E10" s="117" t="n">
        <v>0</v>
      </c>
      <c r="F10" s="117" t="n">
        <v>0</v>
      </c>
      <c r="G10" s="100" t="n">
        <v>0</v>
      </c>
      <c r="H10" s="100" t="n">
        <v>0</v>
      </c>
      <c r="I10" s="100" t="n">
        <v>0</v>
      </c>
      <c r="J10" s="100" t="n">
        <v>0</v>
      </c>
      <c r="K10" s="100" t="n">
        <v>0</v>
      </c>
      <c r="L10" s="100" t="n">
        <v>0</v>
      </c>
      <c r="M10" s="100" t="n">
        <v>0</v>
      </c>
      <c r="N10" s="87" t="n">
        <v>0</v>
      </c>
      <c r="O10" s="87" t="n">
        <v>0</v>
      </c>
      <c r="P10" s="87" t="n">
        <v>0</v>
      </c>
      <c r="Q10" s="87" t="n">
        <v>0</v>
      </c>
      <c r="R10" s="87" t="n">
        <v>0</v>
      </c>
      <c r="S10" s="87" t="n">
        <v>0</v>
      </c>
      <c r="T10" s="87" t="n">
        <v>0</v>
      </c>
      <c r="U10" s="87" t="n">
        <v>0</v>
      </c>
      <c r="V10" s="87" t="n">
        <v>0</v>
      </c>
      <c r="W10" s="87" t="n">
        <v>0</v>
      </c>
      <c r="X10" s="87" t="n">
        <v>0</v>
      </c>
      <c r="Y10" s="87" t="n">
        <v>0</v>
      </c>
      <c r="Z10" s="87" t="n">
        <v>0</v>
      </c>
      <c r="AA10" s="87" t="n">
        <v>0</v>
      </c>
      <c r="AB10" s="87">
        <f>('Resource Supply (5yr)'!AB7-'Resource Supply (5yr)'!AB10)*'Mine Inventory'!AF8</f>
        <v/>
      </c>
      <c r="AC10" s="87" t="n">
        <v>0</v>
      </c>
      <c r="AD10" s="87" t="n">
        <v>0</v>
      </c>
      <c r="AE10" s="87" t="n">
        <v>0</v>
      </c>
      <c r="AF10" s="87" t="n">
        <v>0</v>
      </c>
      <c r="AG10" s="87" t="n">
        <v>0</v>
      </c>
      <c r="AH10" s="87" t="n">
        <v>0</v>
      </c>
      <c r="AI10" s="87" t="n">
        <v>0</v>
      </c>
      <c r="AJ10" s="87" t="n">
        <v>0</v>
      </c>
      <c r="AK10" s="87" t="n">
        <v>0</v>
      </c>
      <c r="AL10" s="87" t="n">
        <v>0</v>
      </c>
      <c r="AM10" s="87" t="n">
        <v>0</v>
      </c>
      <c r="AN10" s="87">
        <f>('Resource Supply (5yr)'!AN7-'Resource Supply (5yr)'!AN10)*'Mine Inventory'!AF8</f>
        <v/>
      </c>
      <c r="AO10" s="87" t="n">
        <v>0</v>
      </c>
      <c r="AP10" s="87" t="n">
        <v>0</v>
      </c>
      <c r="AQ10" s="87" t="n">
        <v>0</v>
      </c>
      <c r="AR10" s="87" t="n">
        <v>0</v>
      </c>
      <c r="AS10" s="87" t="n">
        <v>0</v>
      </c>
      <c r="AT10" s="87" t="n">
        <v>0</v>
      </c>
      <c r="AU10" s="87" t="n">
        <v>0</v>
      </c>
      <c r="AV10" s="87" t="n">
        <v>0</v>
      </c>
      <c r="AW10" s="87" t="n">
        <v>0</v>
      </c>
      <c r="AX10" s="87" t="n">
        <v>0</v>
      </c>
      <c r="AY10" s="87" t="n">
        <v>0</v>
      </c>
      <c r="AZ10" s="87">
        <f>('Resource Supply (5yr)'!AZ7-'Resource Supply (5yr)'!AZ10)*'Mine Inventory'!AF8</f>
        <v/>
      </c>
      <c r="BA10" s="87" t="n">
        <v>0</v>
      </c>
      <c r="BB10" s="87" t="n">
        <v>0</v>
      </c>
      <c r="BC10" s="87" t="n">
        <v>0</v>
      </c>
      <c r="BD10" s="87" t="n">
        <v>0</v>
      </c>
      <c r="BE10" s="87" t="n">
        <v>0</v>
      </c>
      <c r="BF10" s="87" t="n">
        <v>0</v>
      </c>
      <c r="BG10" s="87" t="n">
        <v>0</v>
      </c>
      <c r="BH10" s="87" t="n">
        <v>0</v>
      </c>
      <c r="BI10" s="161" t="n">
        <v>0</v>
      </c>
    </row>
    <row r="11">
      <c r="A11" s="38" t="inlineStr">
        <is>
          <t>Mine 8</t>
        </is>
      </c>
      <c r="B11" s="117" t="n">
        <v>0</v>
      </c>
      <c r="C11" s="117" t="n">
        <v>0</v>
      </c>
      <c r="D11" s="117" t="n">
        <v>0</v>
      </c>
      <c r="E11" s="117" t="n">
        <v>0</v>
      </c>
      <c r="F11" s="117" t="n">
        <v>0</v>
      </c>
      <c r="G11" s="100" t="n">
        <v>0</v>
      </c>
      <c r="H11" s="100" t="n">
        <v>0</v>
      </c>
      <c r="I11" s="100" t="n">
        <v>0</v>
      </c>
      <c r="J11" s="100" t="n">
        <v>0</v>
      </c>
      <c r="K11" s="100" t="n">
        <v>0</v>
      </c>
      <c r="L11" s="100" t="n">
        <v>0</v>
      </c>
      <c r="M11" s="100" t="n">
        <v>0</v>
      </c>
      <c r="N11" s="87" t="n">
        <v>0</v>
      </c>
      <c r="O11" s="87" t="n">
        <v>0</v>
      </c>
      <c r="P11" s="87" t="n">
        <v>0</v>
      </c>
      <c r="Q11" s="87" t="n">
        <v>0</v>
      </c>
      <c r="R11" s="87" t="n">
        <v>0</v>
      </c>
      <c r="S11" s="87" t="n">
        <v>0</v>
      </c>
      <c r="T11" s="87" t="n">
        <v>0</v>
      </c>
      <c r="U11" s="87" t="n">
        <v>0</v>
      </c>
      <c r="V11" s="87" t="n">
        <v>0</v>
      </c>
      <c r="W11" s="87" t="n">
        <v>0</v>
      </c>
      <c r="X11" s="87" t="n">
        <v>0</v>
      </c>
      <c r="Y11" s="87" t="n">
        <v>0</v>
      </c>
      <c r="Z11" s="87" t="n">
        <v>0</v>
      </c>
      <c r="AA11" s="87" t="n">
        <v>0</v>
      </c>
      <c r="AB11" s="87" t="n">
        <v>0</v>
      </c>
      <c r="AC11" s="87" t="n">
        <v>0</v>
      </c>
      <c r="AD11" s="87" t="n">
        <v>0</v>
      </c>
      <c r="AE11" s="87" t="n">
        <v>0</v>
      </c>
      <c r="AF11" s="87" t="n">
        <v>0</v>
      </c>
      <c r="AG11" s="87">
        <f>('Resource Supply (5yr)'!AG7-'Resource Supply (5yr)'!AG10)*'Mine Inventory'!AF10</f>
        <v/>
      </c>
      <c r="AH11" s="87" t="n">
        <v>0</v>
      </c>
      <c r="AI11" s="87" t="n">
        <v>0</v>
      </c>
      <c r="AJ11" s="87" t="n">
        <v>0</v>
      </c>
      <c r="AK11" s="87" t="n">
        <v>0</v>
      </c>
      <c r="AL11" s="87" t="n">
        <v>0</v>
      </c>
      <c r="AM11" s="87" t="n">
        <v>0</v>
      </c>
      <c r="AN11" s="87" t="n">
        <v>0</v>
      </c>
      <c r="AO11" s="87" t="n">
        <v>0</v>
      </c>
      <c r="AP11" s="87" t="n">
        <v>0</v>
      </c>
      <c r="AQ11" s="87" t="n">
        <v>0</v>
      </c>
      <c r="AR11" s="87" t="n">
        <v>0</v>
      </c>
      <c r="AS11" s="87">
        <f>('Resource Supply (5yr)'!AS7-'Resource Supply (5yr)'!AS10)*'Mine Inventory'!AF10</f>
        <v/>
      </c>
      <c r="AT11" s="87" t="n">
        <v>0</v>
      </c>
      <c r="AU11" s="87" t="n">
        <v>0</v>
      </c>
      <c r="AV11" s="87" t="n">
        <v>0</v>
      </c>
      <c r="AW11" s="87" t="n">
        <v>0</v>
      </c>
      <c r="AX11" s="87" t="n">
        <v>0</v>
      </c>
      <c r="AY11" s="87" t="n">
        <v>0</v>
      </c>
      <c r="AZ11" s="87" t="n">
        <v>0</v>
      </c>
      <c r="BA11" s="87" t="n">
        <v>0</v>
      </c>
      <c r="BB11" s="87" t="n">
        <v>0</v>
      </c>
      <c r="BC11" s="87" t="n">
        <v>0</v>
      </c>
      <c r="BD11" s="87" t="n">
        <v>0</v>
      </c>
      <c r="BE11" s="87">
        <f>('Resource Supply (5yr)'!BE7-'Resource Supply (5yr)'!BE10)*'Mine Inventory'!AF10</f>
        <v/>
      </c>
      <c r="BF11" s="87" t="n">
        <v>0</v>
      </c>
      <c r="BG11" s="87" t="n">
        <v>0</v>
      </c>
      <c r="BH11" s="87" t="n">
        <v>0</v>
      </c>
      <c r="BI11" s="161" t="n">
        <v>0</v>
      </c>
    </row>
    <row r="12">
      <c r="A12" s="38" t="inlineStr">
        <is>
          <t>Mine 9</t>
        </is>
      </c>
      <c r="B12" s="117" t="n">
        <v>0</v>
      </c>
      <c r="C12" s="117" t="n">
        <v>0</v>
      </c>
      <c r="D12" s="117" t="n">
        <v>0</v>
      </c>
      <c r="E12" s="117" t="n">
        <v>0</v>
      </c>
      <c r="F12" s="117" t="n">
        <v>0</v>
      </c>
      <c r="G12" s="100" t="n">
        <v>0</v>
      </c>
      <c r="H12" s="100" t="n">
        <v>0</v>
      </c>
      <c r="I12" s="100" t="n">
        <v>0</v>
      </c>
      <c r="J12" s="100" t="n">
        <v>0</v>
      </c>
      <c r="K12" s="100" t="n">
        <v>0</v>
      </c>
      <c r="L12" s="100" t="n">
        <v>0</v>
      </c>
      <c r="M12" s="100" t="n">
        <v>0</v>
      </c>
      <c r="N12" s="87" t="n">
        <v>0</v>
      </c>
      <c r="O12" s="87" t="n">
        <v>0</v>
      </c>
      <c r="P12" s="87" t="n">
        <v>0</v>
      </c>
      <c r="Q12" s="87" t="n">
        <v>0</v>
      </c>
      <c r="R12" s="87" t="n">
        <v>0</v>
      </c>
      <c r="S12" s="87" t="n">
        <v>0</v>
      </c>
      <c r="T12" s="87" t="n">
        <v>0</v>
      </c>
      <c r="U12" s="87" t="n">
        <v>0</v>
      </c>
      <c r="V12" s="87" t="n">
        <v>0</v>
      </c>
      <c r="W12" s="87" t="n">
        <v>0</v>
      </c>
      <c r="X12" s="87" t="n">
        <v>0</v>
      </c>
      <c r="Y12" s="87" t="n">
        <v>0</v>
      </c>
      <c r="Z12" s="87" t="n">
        <v>0</v>
      </c>
      <c r="AA12" s="87" t="n">
        <v>0</v>
      </c>
      <c r="AB12" s="87" t="n">
        <v>0</v>
      </c>
      <c r="AC12" s="87" t="n">
        <v>0</v>
      </c>
      <c r="AD12" s="87" t="n">
        <v>0</v>
      </c>
      <c r="AE12" s="87" t="n">
        <v>0</v>
      </c>
      <c r="AF12" s="87" t="n">
        <v>0</v>
      </c>
      <c r="AG12" s="87" t="n">
        <v>0</v>
      </c>
      <c r="AH12" s="87" t="n">
        <v>0</v>
      </c>
      <c r="AI12" s="87" t="n">
        <v>0</v>
      </c>
      <c r="AJ12" s="87">
        <f>('Resource Supply (5yr)'!AJ7-'Resource Supply (5yr)'!AJ10)*'Mine Inventory'!AF9</f>
        <v/>
      </c>
      <c r="AK12" s="87" t="n">
        <v>0</v>
      </c>
      <c r="AL12" s="87" t="n">
        <v>0</v>
      </c>
      <c r="AM12" s="87" t="n">
        <v>0</v>
      </c>
      <c r="AN12" s="87" t="n">
        <v>0</v>
      </c>
      <c r="AO12" s="87" t="n">
        <v>0</v>
      </c>
      <c r="AP12" s="87" t="n">
        <v>0</v>
      </c>
      <c r="AQ12" s="87" t="n">
        <v>0</v>
      </c>
      <c r="AR12" s="87" t="n">
        <v>0</v>
      </c>
      <c r="AS12" s="87" t="n">
        <v>0</v>
      </c>
      <c r="AT12" s="87" t="n">
        <v>0</v>
      </c>
      <c r="AU12" s="87" t="n">
        <v>0</v>
      </c>
      <c r="AV12" s="87">
        <f>('Resource Supply (5yr)'!AV7-'Resource Supply (5yr)'!AV10)*'Mine Inventory'!AF9</f>
        <v/>
      </c>
      <c r="AW12" s="87" t="n">
        <v>0</v>
      </c>
      <c r="AX12" s="87" t="n">
        <v>0</v>
      </c>
      <c r="AY12" s="87" t="n">
        <v>0</v>
      </c>
      <c r="AZ12" s="87" t="n">
        <v>0</v>
      </c>
      <c r="BA12" s="87" t="n">
        <v>0</v>
      </c>
      <c r="BB12" s="87" t="n">
        <v>0</v>
      </c>
      <c r="BC12" s="87" t="n">
        <v>0</v>
      </c>
      <c r="BD12" s="87" t="n">
        <v>0</v>
      </c>
      <c r="BE12" s="87" t="n">
        <v>0</v>
      </c>
      <c r="BF12" s="87" t="n">
        <v>0</v>
      </c>
      <c r="BG12" s="87" t="n">
        <v>0</v>
      </c>
      <c r="BH12" s="87">
        <f>('Resource Supply (5yr)'!BH7-'Resource Supply (5yr)'!BH10)*'Mine Inventory'!AF9</f>
        <v/>
      </c>
      <c r="BI12" s="161" t="n">
        <v>0</v>
      </c>
    </row>
    <row r="13">
      <c r="A13" s="38" t="inlineStr">
        <is>
          <t>Mine 10</t>
        </is>
      </c>
      <c r="B13" s="117" t="n">
        <v>0</v>
      </c>
      <c r="C13" s="117" t="n">
        <v>0</v>
      </c>
      <c r="D13" s="117" t="n">
        <v>0</v>
      </c>
      <c r="E13" s="117" t="n">
        <v>0</v>
      </c>
      <c r="F13" s="117" t="n">
        <v>0</v>
      </c>
      <c r="G13" s="100" t="n">
        <v>0</v>
      </c>
      <c r="H13" s="100" t="n">
        <v>0</v>
      </c>
      <c r="I13" s="100" t="n">
        <v>0</v>
      </c>
      <c r="J13" s="100" t="n">
        <v>0</v>
      </c>
      <c r="K13" s="100" t="n">
        <v>0</v>
      </c>
      <c r="L13" s="100" t="n">
        <v>0</v>
      </c>
      <c r="M13" s="100" t="n">
        <v>0</v>
      </c>
      <c r="N13" s="87" t="n">
        <v>0</v>
      </c>
      <c r="O13" s="87" t="n">
        <v>0</v>
      </c>
      <c r="P13" s="87" t="n">
        <v>0</v>
      </c>
      <c r="Q13" s="87" t="n">
        <v>0</v>
      </c>
      <c r="R13" s="87" t="n">
        <v>0</v>
      </c>
      <c r="S13" s="87" t="n">
        <v>0</v>
      </c>
      <c r="T13" s="87" t="n">
        <v>0</v>
      </c>
      <c r="U13" s="87" t="n">
        <v>0</v>
      </c>
      <c r="V13" s="87" t="n">
        <v>0</v>
      </c>
      <c r="W13" s="87" t="n">
        <v>0</v>
      </c>
      <c r="X13" s="87" t="n">
        <v>0</v>
      </c>
      <c r="Y13" s="87" t="n">
        <v>0</v>
      </c>
      <c r="Z13" s="87" t="n">
        <v>0</v>
      </c>
      <c r="AA13" s="87" t="n">
        <v>0</v>
      </c>
      <c r="AB13" s="87" t="n">
        <v>0</v>
      </c>
      <c r="AC13" s="87" t="n">
        <v>0</v>
      </c>
      <c r="AD13" s="87" t="n">
        <v>0</v>
      </c>
      <c r="AE13" s="87" t="n">
        <v>0</v>
      </c>
      <c r="AF13" s="87" t="n">
        <v>0</v>
      </c>
      <c r="AG13" s="87" t="n">
        <v>0</v>
      </c>
      <c r="AH13" s="87" t="n">
        <v>0</v>
      </c>
      <c r="AI13" s="87" t="n">
        <v>0</v>
      </c>
      <c r="AJ13" s="87" t="n">
        <v>0</v>
      </c>
      <c r="AK13" s="87" t="n">
        <v>0</v>
      </c>
      <c r="AL13" s="87" t="n">
        <v>0</v>
      </c>
      <c r="AM13" s="87">
        <f>('Resource Supply (5yr)'!AM7-'Resource Supply (5yr)'!AM10)*'Mine Inventory'!AF11</f>
        <v/>
      </c>
      <c r="AN13" s="87" t="n">
        <v>0</v>
      </c>
      <c r="AO13" s="87" t="n">
        <v>0</v>
      </c>
      <c r="AP13" s="87" t="n">
        <v>0</v>
      </c>
      <c r="AQ13" s="87" t="n">
        <v>0</v>
      </c>
      <c r="AR13" s="87" t="n">
        <v>0</v>
      </c>
      <c r="AS13" s="87" t="n">
        <v>0</v>
      </c>
      <c r="AT13" s="87" t="n">
        <v>0</v>
      </c>
      <c r="AU13" s="87" t="n">
        <v>0</v>
      </c>
      <c r="AV13" s="87" t="n">
        <v>0</v>
      </c>
      <c r="AW13" s="87" t="n">
        <v>0</v>
      </c>
      <c r="AX13" s="87" t="n">
        <v>0</v>
      </c>
      <c r="AY13" s="87">
        <f>('Resource Supply (5yr)'!AY7-'Resource Supply (5yr)'!AY10)*'Mine Inventory'!AF11</f>
        <v/>
      </c>
      <c r="AZ13" s="87" t="n">
        <v>0</v>
      </c>
      <c r="BA13" s="87" t="n">
        <v>0</v>
      </c>
      <c r="BB13" s="87" t="n">
        <v>0</v>
      </c>
      <c r="BC13" s="87" t="n">
        <v>0</v>
      </c>
      <c r="BD13" s="87" t="n">
        <v>0</v>
      </c>
      <c r="BE13" s="87" t="n">
        <v>0</v>
      </c>
      <c r="BF13" s="87" t="n">
        <v>0</v>
      </c>
      <c r="BG13" s="87" t="n">
        <v>0</v>
      </c>
      <c r="BH13" s="87" t="n">
        <v>0</v>
      </c>
      <c r="BI13" s="161" t="n">
        <v>0</v>
      </c>
    </row>
    <row r="14">
      <c r="A14" s="38" t="inlineStr">
        <is>
          <t>Mine 11</t>
        </is>
      </c>
      <c r="B14" s="117" t="n">
        <v>0</v>
      </c>
      <c r="C14" s="117" t="n">
        <v>0</v>
      </c>
      <c r="D14" s="117" t="n">
        <v>0</v>
      </c>
      <c r="E14" s="117" t="n">
        <v>0</v>
      </c>
      <c r="F14" s="117" t="n">
        <v>0</v>
      </c>
      <c r="G14" s="100" t="n">
        <v>0</v>
      </c>
      <c r="H14" s="100" t="n">
        <v>0</v>
      </c>
      <c r="I14" s="100" t="n">
        <v>0</v>
      </c>
      <c r="J14" s="100" t="n">
        <v>0</v>
      </c>
      <c r="K14" s="100" t="n">
        <v>0</v>
      </c>
      <c r="L14" s="100" t="n">
        <v>0</v>
      </c>
      <c r="M14" s="100" t="n">
        <v>0</v>
      </c>
      <c r="N14" s="87" t="n">
        <v>0</v>
      </c>
      <c r="O14" s="87" t="n">
        <v>0</v>
      </c>
      <c r="P14" s="87" t="n">
        <v>0</v>
      </c>
      <c r="Q14" s="87" t="n">
        <v>0</v>
      </c>
      <c r="R14" s="87" t="n">
        <v>0</v>
      </c>
      <c r="S14" s="87" t="n">
        <v>0</v>
      </c>
      <c r="T14" s="87" t="n">
        <v>0</v>
      </c>
      <c r="U14" s="87" t="n">
        <v>0</v>
      </c>
      <c r="V14" s="87" t="n">
        <v>0</v>
      </c>
      <c r="W14" s="87" t="n">
        <v>0</v>
      </c>
      <c r="X14" s="87" t="n">
        <v>0</v>
      </c>
      <c r="Y14" s="87" t="n">
        <v>0</v>
      </c>
      <c r="Z14" s="87" t="n">
        <v>0</v>
      </c>
      <c r="AA14" s="87" t="n">
        <v>0</v>
      </c>
      <c r="AB14" s="87" t="n">
        <v>0</v>
      </c>
      <c r="AC14" s="87" t="n">
        <v>0</v>
      </c>
      <c r="AD14" s="87" t="n">
        <v>0</v>
      </c>
      <c r="AE14" s="87" t="n">
        <v>0</v>
      </c>
      <c r="AF14" s="87" t="n">
        <v>0</v>
      </c>
      <c r="AG14" s="87" t="n">
        <v>0</v>
      </c>
      <c r="AH14" s="87" t="n">
        <v>0</v>
      </c>
      <c r="AI14" s="87" t="n">
        <v>0</v>
      </c>
      <c r="AJ14" s="87" t="n">
        <v>0</v>
      </c>
      <c r="AK14" s="87" t="n">
        <v>0</v>
      </c>
      <c r="AL14" s="87" t="n">
        <v>0</v>
      </c>
      <c r="AM14" s="87" t="n">
        <v>0</v>
      </c>
      <c r="AN14" s="87" t="n">
        <v>0</v>
      </c>
      <c r="AO14" s="87" t="n">
        <v>0</v>
      </c>
      <c r="AP14" s="87">
        <f>('Resource Supply (5yr)'!AP7-'Resource Supply (5yr)'!AP10)*'Mine Inventory'!AF12</f>
        <v/>
      </c>
      <c r="AQ14" s="87" t="n">
        <v>0</v>
      </c>
      <c r="AR14" s="87" t="n">
        <v>0</v>
      </c>
      <c r="AS14" s="87" t="n">
        <v>0</v>
      </c>
      <c r="AT14" s="87" t="n">
        <v>0</v>
      </c>
      <c r="AU14" s="87" t="n">
        <v>0</v>
      </c>
      <c r="AV14" s="87" t="n">
        <v>0</v>
      </c>
      <c r="AW14" s="87" t="n">
        <v>0</v>
      </c>
      <c r="AX14" s="87" t="n">
        <v>0</v>
      </c>
      <c r="AY14" s="87" t="n">
        <v>0</v>
      </c>
      <c r="AZ14" s="87" t="n">
        <v>0</v>
      </c>
      <c r="BA14" s="87" t="n">
        <v>0</v>
      </c>
      <c r="BB14" s="87">
        <f>('Resource Supply (5yr)'!BB7-'Resource Supply (5yr)'!BB10)*'Mine Inventory'!AF12</f>
        <v/>
      </c>
      <c r="BC14" s="87" t="n">
        <v>0</v>
      </c>
      <c r="BD14" s="87" t="n">
        <v>0</v>
      </c>
      <c r="BE14" s="87" t="n">
        <v>0</v>
      </c>
      <c r="BF14" s="87" t="n">
        <v>0</v>
      </c>
      <c r="BG14" s="87" t="n">
        <v>0</v>
      </c>
      <c r="BH14" s="87" t="n">
        <v>0</v>
      </c>
      <c r="BI14" s="161" t="n">
        <v>0</v>
      </c>
    </row>
    <row r="15">
      <c r="A15" s="38" t="inlineStr">
        <is>
          <t>Mine 12</t>
        </is>
      </c>
      <c r="B15" s="117" t="n">
        <v>0</v>
      </c>
      <c r="C15" s="117" t="n">
        <v>0</v>
      </c>
      <c r="D15" s="117" t="n">
        <v>0</v>
      </c>
      <c r="E15" s="117" t="n">
        <v>0</v>
      </c>
      <c r="F15" s="117" t="n">
        <v>0</v>
      </c>
      <c r="G15" s="100" t="n">
        <v>0</v>
      </c>
      <c r="H15" s="100" t="n">
        <v>0</v>
      </c>
      <c r="I15" s="100" t="n">
        <v>0</v>
      </c>
      <c r="J15" s="100" t="n">
        <v>0</v>
      </c>
      <c r="K15" s="100" t="n">
        <v>0</v>
      </c>
      <c r="L15" s="100" t="n">
        <v>0</v>
      </c>
      <c r="M15" s="100" t="n">
        <v>0</v>
      </c>
      <c r="N15" s="87" t="n">
        <v>0</v>
      </c>
      <c r="O15" s="87" t="n">
        <v>0</v>
      </c>
      <c r="P15" s="87" t="n">
        <v>0</v>
      </c>
      <c r="Q15" s="87" t="n">
        <v>0</v>
      </c>
      <c r="R15" s="87" t="n">
        <v>0</v>
      </c>
      <c r="S15" s="87" t="n">
        <v>0</v>
      </c>
      <c r="T15" s="87" t="n">
        <v>0</v>
      </c>
      <c r="U15" s="87" t="n">
        <v>0</v>
      </c>
      <c r="V15" s="87" t="n">
        <v>0</v>
      </c>
      <c r="W15" s="87" t="n">
        <v>0</v>
      </c>
      <c r="X15" s="87" t="n">
        <v>0</v>
      </c>
      <c r="Y15" s="87" t="n">
        <v>0</v>
      </c>
      <c r="Z15" s="87" t="n">
        <v>0</v>
      </c>
      <c r="AA15" s="87" t="n">
        <v>0</v>
      </c>
      <c r="AB15" s="87" t="n">
        <v>0</v>
      </c>
      <c r="AC15" s="87" t="n">
        <v>0</v>
      </c>
      <c r="AD15" s="87" t="n">
        <v>0</v>
      </c>
      <c r="AE15" s="87" t="n">
        <v>0</v>
      </c>
      <c r="AF15" s="87" t="n">
        <v>0</v>
      </c>
      <c r="AG15" s="87" t="n">
        <v>0</v>
      </c>
      <c r="AH15" s="87" t="n">
        <v>0</v>
      </c>
      <c r="AI15" s="87" t="n">
        <v>0</v>
      </c>
      <c r="AJ15" s="87" t="n">
        <v>0</v>
      </c>
      <c r="AK15" s="87" t="n">
        <v>0</v>
      </c>
      <c r="AL15" s="87" t="n">
        <v>0</v>
      </c>
      <c r="AM15" s="87" t="n">
        <v>0</v>
      </c>
      <c r="AN15" s="87" t="n">
        <v>0</v>
      </c>
      <c r="AO15" s="87" t="n">
        <v>0</v>
      </c>
      <c r="AP15" s="87" t="n">
        <v>0</v>
      </c>
      <c r="AQ15" s="87" t="n">
        <v>0</v>
      </c>
      <c r="AR15" s="87" t="n">
        <v>0</v>
      </c>
      <c r="AS15" s="87" t="n">
        <v>0</v>
      </c>
      <c r="AT15" s="87" t="n">
        <v>0</v>
      </c>
      <c r="AU15" s="87">
        <f>('Resource Supply (5yr)'!AU7-'Resource Supply (5yr)'!AU10)*'Mine Inventory'!AF13</f>
        <v/>
      </c>
      <c r="AV15" s="87" t="n">
        <v>0</v>
      </c>
      <c r="AW15" s="87" t="n">
        <v>0</v>
      </c>
      <c r="AX15" s="87" t="n">
        <v>0</v>
      </c>
      <c r="AY15" s="87" t="n">
        <v>0</v>
      </c>
      <c r="AZ15" s="87" t="n">
        <v>0</v>
      </c>
      <c r="BA15" s="87" t="n">
        <v>0</v>
      </c>
      <c r="BB15" s="87" t="n">
        <v>0</v>
      </c>
      <c r="BC15" s="87" t="n">
        <v>0</v>
      </c>
      <c r="BD15" s="87" t="n">
        <v>0</v>
      </c>
      <c r="BE15" s="87" t="n">
        <v>0</v>
      </c>
      <c r="BF15" s="87" t="n">
        <v>0</v>
      </c>
      <c r="BG15" s="87">
        <f>('Resource Supply (5yr)'!BG7-'Resource Supply (5yr)'!BG10)*'Mine Inventory'!AF13</f>
        <v/>
      </c>
      <c r="BH15" s="87" t="n">
        <v>0</v>
      </c>
      <c r="BI15" s="161" t="n">
        <v>0</v>
      </c>
    </row>
    <row r="16">
      <c r="A16" s="108" t="inlineStr">
        <is>
          <t>Monthly Unlocked Supply</t>
        </is>
      </c>
      <c r="B16" s="137" t="n">
        <v>0</v>
      </c>
      <c r="C16" s="137" t="n">
        <v>0</v>
      </c>
      <c r="D16" s="137" t="n">
        <v>0</v>
      </c>
      <c r="E16" s="137" t="n">
        <v>0</v>
      </c>
      <c r="F16" s="137" t="n">
        <v>0</v>
      </c>
      <c r="G16" s="189">
        <f>SUM(G3:G15)</f>
        <v/>
      </c>
      <c r="H16" s="189">
        <f>SUM(H3:H15)</f>
        <v/>
      </c>
      <c r="I16" s="189">
        <f>SUM(I3:I15)</f>
        <v/>
      </c>
      <c r="J16" s="189">
        <f>SUM(J3:J15)</f>
        <v/>
      </c>
      <c r="K16" s="189">
        <f>SUM(K3:K15)</f>
        <v/>
      </c>
      <c r="L16" s="189">
        <f>SUM(L3:L15)</f>
        <v/>
      </c>
      <c r="M16" s="189">
        <f>SUM(M3:M15)</f>
        <v/>
      </c>
      <c r="N16" s="163">
        <f>SUM(N3:N15)</f>
        <v/>
      </c>
      <c r="O16" s="163">
        <f>SUM(O3:O15)</f>
        <v/>
      </c>
      <c r="P16" s="163">
        <f>SUM(P3:P15)</f>
        <v/>
      </c>
      <c r="Q16" s="163">
        <f>SUM(Q3:Q15)</f>
        <v/>
      </c>
      <c r="R16" s="163">
        <f>SUM(R3:R15)</f>
        <v/>
      </c>
      <c r="S16" s="163">
        <f>SUM(S3:S15)</f>
        <v/>
      </c>
      <c r="T16" s="163">
        <f>SUM(T3:T15)</f>
        <v/>
      </c>
      <c r="U16" s="163">
        <f>SUM(U3:U15)</f>
        <v/>
      </c>
      <c r="V16" s="163">
        <f>SUM(V3:V15)</f>
        <v/>
      </c>
      <c r="W16" s="163">
        <f>SUM(W3:W15)</f>
        <v/>
      </c>
      <c r="X16" s="163">
        <f>SUM(X3:X15)</f>
        <v/>
      </c>
      <c r="Y16" s="163">
        <f>SUM(Y3:Y15)</f>
        <v/>
      </c>
      <c r="Z16" s="163">
        <f>SUM(Z3:Z15)</f>
        <v/>
      </c>
      <c r="AA16" s="163">
        <f>SUM(AA3:AA15)</f>
        <v/>
      </c>
      <c r="AB16" s="163">
        <f>SUM(AB3:AB15)</f>
        <v/>
      </c>
      <c r="AC16" s="163">
        <f>SUM(AC3:AC15)</f>
        <v/>
      </c>
      <c r="AD16" s="163">
        <f>SUM(AD3:AD15)</f>
        <v/>
      </c>
      <c r="AE16" s="163">
        <f>SUM(AE3:AE15)</f>
        <v/>
      </c>
      <c r="AF16" s="163">
        <f>SUM(AF3:AF15)</f>
        <v/>
      </c>
      <c r="AG16" s="163">
        <f>SUM(AG3:AG15)</f>
        <v/>
      </c>
      <c r="AH16" s="163">
        <f>SUM(AH3:AH15)</f>
        <v/>
      </c>
      <c r="AI16" s="163">
        <f>SUM(AI3:AI15)</f>
        <v/>
      </c>
      <c r="AJ16" s="163">
        <f>SUM(AJ3:AJ15)</f>
        <v/>
      </c>
      <c r="AK16" s="163">
        <f>SUM(AK3:AK15)</f>
        <v/>
      </c>
      <c r="AL16" s="163">
        <f>SUM(AL3:AL15)</f>
        <v/>
      </c>
      <c r="AM16" s="163">
        <f>SUM(AM3:AM15)</f>
        <v/>
      </c>
      <c r="AN16" s="163">
        <f>SUM(AN3:AN15)</f>
        <v/>
      </c>
      <c r="AO16" s="163">
        <f>SUM(AO3:AO15)</f>
        <v/>
      </c>
      <c r="AP16" s="163">
        <f>SUM(AP3:AP15)</f>
        <v/>
      </c>
      <c r="AQ16" s="163">
        <f>SUM(AQ3:AQ15)</f>
        <v/>
      </c>
      <c r="AR16" s="163">
        <f>SUM(AR3:AR15)</f>
        <v/>
      </c>
      <c r="AS16" s="163">
        <f>SUM(AS3:AS15)</f>
        <v/>
      </c>
      <c r="AT16" s="163">
        <f>SUM(AT3:AT15)</f>
        <v/>
      </c>
      <c r="AU16" s="163">
        <f>SUM(AU3:AU15)</f>
        <v/>
      </c>
      <c r="AV16" s="163">
        <f>SUM(AV3:AV15)</f>
        <v/>
      </c>
      <c r="AW16" s="163">
        <f>SUM(AW3:AW15)</f>
        <v/>
      </c>
      <c r="AX16" s="163">
        <f>SUM(AX3:AX15)</f>
        <v/>
      </c>
      <c r="AY16" s="163">
        <f>SUM(AY3:AY15)</f>
        <v/>
      </c>
      <c r="AZ16" s="163">
        <f>SUM(AZ3:AZ15)</f>
        <v/>
      </c>
      <c r="BA16" s="163">
        <f>SUM(BA3:BA15)</f>
        <v/>
      </c>
      <c r="BB16" s="163">
        <f>SUM(BB3:BB15)</f>
        <v/>
      </c>
      <c r="BC16" s="163">
        <f>SUM(BC3:BC15)</f>
        <v/>
      </c>
      <c r="BD16" s="163">
        <f>SUM(BD3:BD15)</f>
        <v/>
      </c>
      <c r="BE16" s="163">
        <f>SUM(BE3:BE15)</f>
        <v/>
      </c>
      <c r="BF16" s="163">
        <f>SUM(BF3:BF15)</f>
        <v/>
      </c>
      <c r="BG16" s="163">
        <f>SUM(BG3:BG15)</f>
        <v/>
      </c>
      <c r="BH16" s="163">
        <f>SUM(BH3:BH15)</f>
        <v/>
      </c>
      <c r="BI16" s="164">
        <f>SUM(BI3:BI15)</f>
        <v/>
      </c>
    </row>
    <row r="17">
      <c r="A17" s="128" t="n"/>
      <c r="B17" s="128" t="n"/>
      <c r="C17" s="128" t="n"/>
      <c r="D17" s="128" t="n"/>
      <c r="E17" s="128" t="n"/>
      <c r="F17" s="128" t="n"/>
      <c r="G17" s="128" t="n"/>
      <c r="H17" s="128" t="n"/>
      <c r="I17" s="128" t="n"/>
      <c r="J17" s="128"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28" t="n"/>
    </row>
    <row r="18">
      <c r="A18" s="36" t="inlineStr">
        <is>
          <t>Circulating Supply</t>
        </is>
      </c>
      <c r="B18" s="94" t="n"/>
      <c r="C18" s="94" t="n"/>
      <c r="D18" s="94" t="n"/>
      <c r="E18" s="94" t="n"/>
      <c r="F18" s="94" t="n"/>
      <c r="G18" s="94" t="n"/>
      <c r="H18" s="94" t="n"/>
      <c r="I18" s="94" t="n"/>
      <c r="J18" s="94" t="n"/>
      <c r="K18" s="94" t="n"/>
      <c r="L18" s="94" t="n"/>
      <c r="M18" s="9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94" t="n"/>
      <c r="AH18" s="94" t="n"/>
      <c r="AI18" s="94" t="n"/>
      <c r="AJ18" s="94" t="n"/>
      <c r="AK18" s="94" t="n"/>
      <c r="AL18" s="94" t="n"/>
      <c r="AM18" s="94" t="n"/>
      <c r="AN18" s="94" t="n"/>
      <c r="AO18" s="94" t="n"/>
      <c r="AP18" s="94" t="n"/>
      <c r="AQ18" s="94" t="n"/>
      <c r="AR18" s="94" t="n"/>
      <c r="AS18" s="94" t="n"/>
      <c r="AT18" s="94" t="n"/>
      <c r="AU18" s="94" t="n"/>
      <c r="AV18" s="94" t="n"/>
      <c r="AW18" s="94" t="n"/>
      <c r="AX18" s="94" t="n"/>
      <c r="AY18" s="94" t="n"/>
      <c r="AZ18" s="94" t="n"/>
      <c r="BA18" s="94" t="n"/>
      <c r="BB18" s="94" t="n"/>
      <c r="BC18" s="94" t="n"/>
      <c r="BD18" s="94" t="n"/>
      <c r="BE18" s="94" t="n"/>
      <c r="BF18" s="94" t="n"/>
      <c r="BG18" s="94" t="n"/>
      <c r="BH18" s="94" t="n"/>
      <c r="BI18" s="121" t="n"/>
    </row>
    <row r="19">
      <c r="A19" s="38" t="inlineStr">
        <is>
          <t>RealGold Reg &amp; Market Fees</t>
        </is>
      </c>
      <c r="B19" s="117" t="n">
        <v>0</v>
      </c>
      <c r="C19" s="117" t="n">
        <v>0</v>
      </c>
      <c r="D19" s="117" t="n">
        <v>0</v>
      </c>
      <c r="E19" s="117" t="n">
        <v>0</v>
      </c>
      <c r="F19" s="117" t="n">
        <v>0</v>
      </c>
      <c r="G19" s="165" t="n">
        <v>0</v>
      </c>
      <c r="H19" s="165" t="n">
        <v>0</v>
      </c>
      <c r="I19" s="165" t="n">
        <v>0</v>
      </c>
      <c r="J19" s="165" t="n">
        <v>0</v>
      </c>
      <c r="K19" s="165">
        <f>sum(G3:J3)</f>
        <v/>
      </c>
      <c r="L19" s="165">
        <f>L3</f>
        <v/>
      </c>
      <c r="M19" s="165">
        <f>M3</f>
        <v/>
      </c>
      <c r="N19" s="159">
        <f>N3</f>
        <v/>
      </c>
      <c r="O19" s="159">
        <f>O3</f>
        <v/>
      </c>
      <c r="P19" s="159">
        <f>P3</f>
        <v/>
      </c>
      <c r="Q19" s="159">
        <f>Q3</f>
        <v/>
      </c>
      <c r="R19" s="159">
        <f>R3</f>
        <v/>
      </c>
      <c r="S19" s="159">
        <f>S3</f>
        <v/>
      </c>
      <c r="T19" s="159">
        <f>T3</f>
        <v/>
      </c>
      <c r="U19" s="159">
        <f>U3</f>
        <v/>
      </c>
      <c r="V19" s="159">
        <f>V3</f>
        <v/>
      </c>
      <c r="W19" s="159">
        <f>W3</f>
        <v/>
      </c>
      <c r="X19" s="159">
        <f>X3</f>
        <v/>
      </c>
      <c r="Y19" s="159">
        <f>Y3</f>
        <v/>
      </c>
      <c r="Z19" s="159">
        <f>Z3</f>
        <v/>
      </c>
      <c r="AA19" s="159">
        <f>AA3</f>
        <v/>
      </c>
      <c r="AB19" s="159">
        <f>AB3</f>
        <v/>
      </c>
      <c r="AC19" s="159">
        <f>AC3</f>
        <v/>
      </c>
      <c r="AD19" s="159">
        <f>AD3</f>
        <v/>
      </c>
      <c r="AE19" s="159">
        <f>AE3</f>
        <v/>
      </c>
      <c r="AF19" s="159">
        <f>AF3</f>
        <v/>
      </c>
      <c r="AG19" s="159">
        <f>AG3</f>
        <v/>
      </c>
      <c r="AH19" s="159">
        <f>AH3</f>
        <v/>
      </c>
      <c r="AI19" s="159">
        <f>AI3</f>
        <v/>
      </c>
      <c r="AJ19" s="159">
        <f>AJ3</f>
        <v/>
      </c>
      <c r="AK19" s="159">
        <f>AK3</f>
        <v/>
      </c>
      <c r="AL19" s="159">
        <f>AL3</f>
        <v/>
      </c>
      <c r="AM19" s="159">
        <f>AM3</f>
        <v/>
      </c>
      <c r="AN19" s="159">
        <f>AN3</f>
        <v/>
      </c>
      <c r="AO19" s="159">
        <f>AO3</f>
        <v/>
      </c>
      <c r="AP19" s="159">
        <f>AP3</f>
        <v/>
      </c>
      <c r="AQ19" s="159">
        <f>AQ3</f>
        <v/>
      </c>
      <c r="AR19" s="159">
        <f>AR3</f>
        <v/>
      </c>
      <c r="AS19" s="159">
        <f>AS3</f>
        <v/>
      </c>
      <c r="AT19" s="159">
        <f>AT3</f>
        <v/>
      </c>
      <c r="AU19" s="159">
        <f>AU3</f>
        <v/>
      </c>
      <c r="AV19" s="159">
        <f>AV3</f>
        <v/>
      </c>
      <c r="AW19" s="159">
        <f>AW3</f>
        <v/>
      </c>
      <c r="AX19" s="159">
        <f>AX3</f>
        <v/>
      </c>
      <c r="AY19" s="159">
        <f>AY3</f>
        <v/>
      </c>
      <c r="AZ19" s="159">
        <f>AZ3</f>
        <v/>
      </c>
      <c r="BA19" s="159">
        <f>BA3</f>
        <v/>
      </c>
      <c r="BB19" s="159">
        <f>BB3</f>
        <v/>
      </c>
      <c r="BC19" s="159">
        <f>BC3</f>
        <v/>
      </c>
      <c r="BD19" s="159">
        <f>BD3</f>
        <v/>
      </c>
      <c r="BE19" s="159">
        <f>BE3</f>
        <v/>
      </c>
      <c r="BF19" s="159">
        <f>BF3</f>
        <v/>
      </c>
      <c r="BG19" s="159">
        <f>BG3</f>
        <v/>
      </c>
      <c r="BH19" s="159">
        <f>BH3</f>
        <v/>
      </c>
      <c r="BI19" s="176">
        <f>BI3</f>
        <v/>
      </c>
    </row>
    <row r="20">
      <c r="A20" s="38" t="inlineStr">
        <is>
          <t>Courbet Mine</t>
        </is>
      </c>
      <c r="B20" s="165" t="n">
        <v>0</v>
      </c>
      <c r="C20" s="165" t="n">
        <v>0</v>
      </c>
      <c r="D20" s="165" t="n">
        <v>0</v>
      </c>
      <c r="E20" s="165" t="n">
        <v>0</v>
      </c>
      <c r="F20" s="165" t="n">
        <v>0</v>
      </c>
      <c r="G20" s="165" t="n">
        <v>0</v>
      </c>
      <c r="H20" s="165" t="n">
        <v>0</v>
      </c>
      <c r="I20" s="165" t="n">
        <v>0</v>
      </c>
      <c r="J20" s="165" t="n">
        <v>0</v>
      </c>
      <c r="K20" s="165">
        <f>'Mine Inventory'!AH2*5</f>
        <v/>
      </c>
      <c r="L20" s="165">
        <f>'Mine Inventory'!AH2</f>
        <v/>
      </c>
      <c r="M20" s="165">
        <f>'Mine Inventory'!AH2</f>
        <v/>
      </c>
      <c r="N20" s="159">
        <f>'Mine Inventory'!AH2</f>
        <v/>
      </c>
      <c r="O20" s="159">
        <f>'Mine Inventory'!AH2</f>
        <v/>
      </c>
      <c r="P20" s="159">
        <f>'Mine Inventory'!AH2</f>
        <v/>
      </c>
      <c r="Q20" s="159">
        <f>'Mine Inventory'!AH2</f>
        <v/>
      </c>
      <c r="R20" s="159">
        <f>'Mine Inventory'!AH2</f>
        <v/>
      </c>
      <c r="S20" s="159">
        <f>'Mine Inventory'!AI2</f>
        <v/>
      </c>
      <c r="T20" s="159">
        <f>'Mine Inventory'!AI2</f>
        <v/>
      </c>
      <c r="U20" s="159">
        <f>'Mine Inventory'!AI2</f>
        <v/>
      </c>
      <c r="V20" s="159">
        <f>'Mine Inventory'!AI2</f>
        <v/>
      </c>
      <c r="W20" s="159">
        <f>'Mine Inventory'!AI2</f>
        <v/>
      </c>
      <c r="X20" s="159">
        <f>'Mine Inventory'!AI2</f>
        <v/>
      </c>
      <c r="Y20" s="159">
        <f>'Mine Inventory'!AI2</f>
        <v/>
      </c>
      <c r="Z20" s="159">
        <f>'Mine Inventory'!AI2</f>
        <v/>
      </c>
      <c r="AA20" s="159">
        <f>'Mine Inventory'!AI2</f>
        <v/>
      </c>
      <c r="AB20" s="159">
        <f>'Mine Inventory'!AI2</f>
        <v/>
      </c>
      <c r="AC20" s="159">
        <f>'Mine Inventory'!AI2</f>
        <v/>
      </c>
      <c r="AD20" s="159">
        <f>'Mine Inventory'!AI2</f>
        <v/>
      </c>
      <c r="AE20" s="159">
        <f>'Mine Inventory'!AI2</f>
        <v/>
      </c>
      <c r="AF20" s="159">
        <f>'Mine Inventory'!AI2</f>
        <v/>
      </c>
      <c r="AG20" s="159">
        <f>'Mine Inventory'!AI2</f>
        <v/>
      </c>
      <c r="AH20" s="159">
        <f>'Mine Inventory'!AI2</f>
        <v/>
      </c>
      <c r="AI20" s="159">
        <f>'Mine Inventory'!AI2</f>
        <v/>
      </c>
      <c r="AJ20" s="159">
        <f>'Mine Inventory'!AI2</f>
        <v/>
      </c>
      <c r="AK20" s="159">
        <f>'Mine Inventory'!AI2</f>
        <v/>
      </c>
      <c r="AL20" s="159">
        <f>'Mine Inventory'!AI2</f>
        <v/>
      </c>
      <c r="AM20" s="159">
        <f>'Mine Inventory'!AI2</f>
        <v/>
      </c>
      <c r="AN20" s="159">
        <f>'Mine Inventory'!AI2</f>
        <v/>
      </c>
      <c r="AO20" s="159">
        <f>'Mine Inventory'!AI2</f>
        <v/>
      </c>
      <c r="AP20" s="159">
        <f>'Mine Inventory'!AI2</f>
        <v/>
      </c>
      <c r="AQ20" s="159">
        <f>'Mine Inventory'!AI2</f>
        <v/>
      </c>
      <c r="AR20" s="159">
        <f>'Mine Inventory'!AI2</f>
        <v/>
      </c>
      <c r="AS20" s="159">
        <f>'Mine Inventory'!AI2</f>
        <v/>
      </c>
      <c r="AT20" s="159">
        <f>'Mine Inventory'!AI2</f>
        <v/>
      </c>
      <c r="AU20" s="159">
        <f>'Mine Inventory'!AI2</f>
        <v/>
      </c>
      <c r="AV20" s="159">
        <f>'Mine Inventory'!AI2</f>
        <v/>
      </c>
      <c r="AW20" s="159">
        <f>'Mine Inventory'!AI2</f>
        <v/>
      </c>
      <c r="AX20" s="159">
        <f>'Mine Inventory'!AI2</f>
        <v/>
      </c>
      <c r="AY20" s="159">
        <f>'Mine Inventory'!AI2</f>
        <v/>
      </c>
      <c r="AZ20" s="159">
        <f>'Mine Inventory'!AI2</f>
        <v/>
      </c>
      <c r="BA20" s="159">
        <f>'Mine Inventory'!AI2</f>
        <v/>
      </c>
      <c r="BB20" s="159">
        <f>'Mine Inventory'!AI2</f>
        <v/>
      </c>
      <c r="BC20" s="159">
        <f>'Mine Inventory'!AI2</f>
        <v/>
      </c>
      <c r="BD20" s="159">
        <f>'Mine Inventory'!AI2</f>
        <v/>
      </c>
      <c r="BE20" s="159">
        <f>'Mine Inventory'!AI2</f>
        <v/>
      </c>
      <c r="BF20" s="159">
        <f>'Mine Inventory'!AI2</f>
        <v/>
      </c>
      <c r="BG20" s="159">
        <f>'Mine Inventory'!AI2</f>
        <v/>
      </c>
      <c r="BH20" s="159">
        <f>'Mine Inventory'!AI2</f>
        <v/>
      </c>
      <c r="BI20" s="176">
        <f>'Mine Inventory'!AI2</f>
        <v/>
      </c>
    </row>
    <row r="21">
      <c r="A21" s="38" t="inlineStr">
        <is>
          <t>Mine 2</t>
        </is>
      </c>
      <c r="B21" s="165" t="n">
        <v>0</v>
      </c>
      <c r="C21" s="165" t="n">
        <v>0</v>
      </c>
      <c r="D21" s="165" t="n">
        <v>0</v>
      </c>
      <c r="E21" s="165" t="n">
        <v>0</v>
      </c>
      <c r="F21" s="165" t="n">
        <v>0</v>
      </c>
      <c r="G21" s="165" t="n">
        <v>0</v>
      </c>
      <c r="H21" s="165" t="n">
        <v>0</v>
      </c>
      <c r="I21" s="165" t="n">
        <v>0</v>
      </c>
      <c r="J21" s="165" t="n">
        <v>0</v>
      </c>
      <c r="K21" s="165" t="n">
        <v>0</v>
      </c>
      <c r="L21" s="165" t="n">
        <v>0</v>
      </c>
      <c r="M21" s="165" t="n">
        <v>0</v>
      </c>
      <c r="N21" s="159">
        <f>'Mine Inventory'!AH3</f>
        <v/>
      </c>
      <c r="O21" s="159">
        <f>'Mine Inventory'!AH3</f>
        <v/>
      </c>
      <c r="P21" s="159">
        <f>'Mine Inventory'!AH3</f>
        <v/>
      </c>
      <c r="Q21" s="159">
        <f>'Mine Inventory'!AH3</f>
        <v/>
      </c>
      <c r="R21" s="159">
        <f>'Mine Inventory'!AH3</f>
        <v/>
      </c>
      <c r="S21" s="159">
        <f>'Mine Inventory'!AH3</f>
        <v/>
      </c>
      <c r="T21" s="159">
        <f>'Mine Inventory'!AH3</f>
        <v/>
      </c>
      <c r="U21" s="159">
        <f>'Mine Inventory'!AH3</f>
        <v/>
      </c>
      <c r="V21" s="159">
        <f>'Mine Inventory'!AI3</f>
        <v/>
      </c>
      <c r="W21" s="159">
        <f>'Mine Inventory'!AI3</f>
        <v/>
      </c>
      <c r="X21" s="159">
        <f>'Mine Inventory'!AI3</f>
        <v/>
      </c>
      <c r="Y21" s="159">
        <f>'Mine Inventory'!AI3</f>
        <v/>
      </c>
      <c r="Z21" s="159">
        <f>'Mine Inventory'!AI3</f>
        <v/>
      </c>
      <c r="AA21" s="159">
        <f>'Mine Inventory'!AI3</f>
        <v/>
      </c>
      <c r="AB21" s="159">
        <f>'Mine Inventory'!AI3</f>
        <v/>
      </c>
      <c r="AC21" s="159">
        <f>'Mine Inventory'!AI3</f>
        <v/>
      </c>
      <c r="AD21" s="159">
        <f>'Mine Inventory'!AI3</f>
        <v/>
      </c>
      <c r="AE21" s="159">
        <f>'Mine Inventory'!AI3</f>
        <v/>
      </c>
      <c r="AF21" s="159">
        <f>'Mine Inventory'!AI3</f>
        <v/>
      </c>
      <c r="AG21" s="159">
        <f>'Mine Inventory'!AI3</f>
        <v/>
      </c>
      <c r="AH21" s="159">
        <f>'Mine Inventory'!AI3</f>
        <v/>
      </c>
      <c r="AI21" s="159">
        <f>'Mine Inventory'!AI3</f>
        <v/>
      </c>
      <c r="AJ21" s="159">
        <f>'Mine Inventory'!AI3</f>
        <v/>
      </c>
      <c r="AK21" s="159">
        <f>'Mine Inventory'!AI3</f>
        <v/>
      </c>
      <c r="AL21" s="159">
        <f>'Mine Inventory'!AI3</f>
        <v/>
      </c>
      <c r="AM21" s="159">
        <f>'Mine Inventory'!AI3</f>
        <v/>
      </c>
      <c r="AN21" s="159">
        <f>'Mine Inventory'!AI3</f>
        <v/>
      </c>
      <c r="AO21" s="159">
        <f>'Mine Inventory'!AI3</f>
        <v/>
      </c>
      <c r="AP21" s="159">
        <f>'Mine Inventory'!AI3</f>
        <v/>
      </c>
      <c r="AQ21" s="159">
        <f>'Mine Inventory'!AI3</f>
        <v/>
      </c>
      <c r="AR21" s="159">
        <f>'Mine Inventory'!AI3</f>
        <v/>
      </c>
      <c r="AS21" s="159">
        <f>'Mine Inventory'!AI3</f>
        <v/>
      </c>
      <c r="AT21" s="159">
        <f>'Mine Inventory'!AI3</f>
        <v/>
      </c>
      <c r="AU21" s="159">
        <f>'Mine Inventory'!AI3</f>
        <v/>
      </c>
      <c r="AV21" s="159">
        <f>'Mine Inventory'!AI3</f>
        <v/>
      </c>
      <c r="AW21" s="159">
        <f>'Mine Inventory'!AI3</f>
        <v/>
      </c>
      <c r="AX21" s="159">
        <f>'Mine Inventory'!AI3</f>
        <v/>
      </c>
      <c r="AY21" s="159">
        <f>'Mine Inventory'!AI3</f>
        <v/>
      </c>
      <c r="AZ21" s="159">
        <f>'Mine Inventory'!AI3</f>
        <v/>
      </c>
      <c r="BA21" s="159">
        <f>'Mine Inventory'!AI3</f>
        <v/>
      </c>
      <c r="BB21" s="159">
        <f>'Mine Inventory'!AI3</f>
        <v/>
      </c>
      <c r="BC21" s="159">
        <f>'Mine Inventory'!AI3</f>
        <v/>
      </c>
      <c r="BD21" s="159">
        <f>'Mine Inventory'!AI3</f>
        <v/>
      </c>
      <c r="BE21" s="159">
        <f>'Mine Inventory'!AI3</f>
        <v/>
      </c>
      <c r="BF21" s="159">
        <f>'Mine Inventory'!AI3</f>
        <v/>
      </c>
      <c r="BG21" s="159">
        <f>'Mine Inventory'!AI3</f>
        <v/>
      </c>
      <c r="BH21" s="159">
        <f>'Mine Inventory'!AI3</f>
        <v/>
      </c>
      <c r="BI21" s="176">
        <f>'Mine Inventory'!AI3</f>
        <v/>
      </c>
    </row>
    <row r="22">
      <c r="A22" s="38" t="inlineStr">
        <is>
          <t>Mine 3</t>
        </is>
      </c>
      <c r="B22" s="165" t="n">
        <v>0</v>
      </c>
      <c r="C22" s="165" t="n">
        <v>0</v>
      </c>
      <c r="D22" s="165" t="n">
        <v>0</v>
      </c>
      <c r="E22" s="165" t="n">
        <v>0</v>
      </c>
      <c r="F22" s="165" t="n">
        <v>0</v>
      </c>
      <c r="G22" s="165" t="n">
        <v>0</v>
      </c>
      <c r="H22" s="165" t="n">
        <v>0</v>
      </c>
      <c r="I22" s="165" t="n">
        <v>0</v>
      </c>
      <c r="J22" s="165" t="n">
        <v>0</v>
      </c>
      <c r="K22" s="165" t="n">
        <v>0</v>
      </c>
      <c r="L22" s="165" t="n">
        <v>0</v>
      </c>
      <c r="M22" s="165" t="n">
        <v>0</v>
      </c>
      <c r="N22" s="159">
        <f>'Mine Inventory'!AH4</f>
        <v/>
      </c>
      <c r="O22" s="159">
        <f>'Mine Inventory'!AH4</f>
        <v/>
      </c>
      <c r="P22" s="159">
        <f>'Mine Inventory'!AH4</f>
        <v/>
      </c>
      <c r="Q22" s="159">
        <f>'Mine Inventory'!AH4</f>
        <v/>
      </c>
      <c r="R22" s="159">
        <f>'Mine Inventory'!AH4</f>
        <v/>
      </c>
      <c r="S22" s="159">
        <f>'Mine Inventory'!AH4</f>
        <v/>
      </c>
      <c r="T22" s="159">
        <f>'Mine Inventory'!AH4</f>
        <v/>
      </c>
      <c r="U22" s="159">
        <f>'Mine Inventory'!AH4</f>
        <v/>
      </c>
      <c r="V22" s="159">
        <f>'Mine Inventory'!AH4</f>
        <v/>
      </c>
      <c r="W22" s="159">
        <f>'Mine Inventory'!AH4</f>
        <v/>
      </c>
      <c r="X22" s="159">
        <f>'Mine Inventory'!AH4</f>
        <v/>
      </c>
      <c r="Y22" s="159">
        <f>'Mine Inventory'!AH4</f>
        <v/>
      </c>
      <c r="Z22" s="159">
        <f>'Mine Inventory'!AI4</f>
        <v/>
      </c>
      <c r="AA22" s="159">
        <f>'Mine Inventory'!AI4</f>
        <v/>
      </c>
      <c r="AB22" s="159">
        <f>'Mine Inventory'!AI4</f>
        <v/>
      </c>
      <c r="AC22" s="159">
        <f>'Mine Inventory'!AI4</f>
        <v/>
      </c>
      <c r="AD22" s="159">
        <f>'Mine Inventory'!AI4</f>
        <v/>
      </c>
      <c r="AE22" s="159">
        <f>'Mine Inventory'!AI4</f>
        <v/>
      </c>
      <c r="AF22" s="159">
        <f>'Mine Inventory'!AI4</f>
        <v/>
      </c>
      <c r="AG22" s="159">
        <f>'Mine Inventory'!AI4</f>
        <v/>
      </c>
      <c r="AH22" s="159">
        <f>'Mine Inventory'!AI4</f>
        <v/>
      </c>
      <c r="AI22" s="159">
        <f>'Mine Inventory'!AI4</f>
        <v/>
      </c>
      <c r="AJ22" s="159">
        <f>'Mine Inventory'!AI4</f>
        <v/>
      </c>
      <c r="AK22" s="159">
        <f>'Mine Inventory'!AI4</f>
        <v/>
      </c>
      <c r="AL22" s="159">
        <f>'Mine Inventory'!AI4</f>
        <v/>
      </c>
      <c r="AM22" s="159">
        <f>'Mine Inventory'!AI4</f>
        <v/>
      </c>
      <c r="AN22" s="159">
        <f>'Mine Inventory'!AI4</f>
        <v/>
      </c>
      <c r="AO22" s="159">
        <f>'Mine Inventory'!AI4</f>
        <v/>
      </c>
      <c r="AP22" s="159">
        <f>'Mine Inventory'!AI4</f>
        <v/>
      </c>
      <c r="AQ22" s="159">
        <f>'Mine Inventory'!AI4</f>
        <v/>
      </c>
      <c r="AR22" s="159">
        <f>'Mine Inventory'!AI4</f>
        <v/>
      </c>
      <c r="AS22" s="159">
        <f>'Mine Inventory'!AI4</f>
        <v/>
      </c>
      <c r="AT22" s="159">
        <f>'Mine Inventory'!AI4</f>
        <v/>
      </c>
      <c r="AU22" s="159">
        <f>'Mine Inventory'!AI4</f>
        <v/>
      </c>
      <c r="AV22" s="159">
        <f>'Mine Inventory'!AI4</f>
        <v/>
      </c>
      <c r="AW22" s="159">
        <f>'Mine Inventory'!AI4</f>
        <v/>
      </c>
      <c r="AX22" s="159">
        <f>'Mine Inventory'!AI4</f>
        <v/>
      </c>
      <c r="AY22" s="159">
        <f>'Mine Inventory'!AI4</f>
        <v/>
      </c>
      <c r="AZ22" s="159">
        <f>'Mine Inventory'!AI4</f>
        <v/>
      </c>
      <c r="BA22" s="159">
        <f>'Mine Inventory'!AI4</f>
        <v/>
      </c>
      <c r="BB22" s="159">
        <f>'Mine Inventory'!AI4</f>
        <v/>
      </c>
      <c r="BC22" s="159">
        <f>'Mine Inventory'!AI4</f>
        <v/>
      </c>
      <c r="BD22" s="159">
        <f>'Mine Inventory'!AI4</f>
        <v/>
      </c>
      <c r="BE22" s="159">
        <f>'Mine Inventory'!AI4</f>
        <v/>
      </c>
      <c r="BF22" s="159">
        <f>'Mine Inventory'!AI4</f>
        <v/>
      </c>
      <c r="BG22" s="159">
        <f>'Mine Inventory'!AI4</f>
        <v/>
      </c>
      <c r="BH22" s="159">
        <f>'Mine Inventory'!AI4</f>
        <v/>
      </c>
      <c r="BI22" s="176">
        <f>'Mine Inventory'!AI4</f>
        <v/>
      </c>
    </row>
    <row r="23">
      <c r="A23" s="38" t="inlineStr">
        <is>
          <t>Mine 4</t>
        </is>
      </c>
      <c r="B23" s="165" t="n">
        <v>0</v>
      </c>
      <c r="C23" s="165" t="n">
        <v>0</v>
      </c>
      <c r="D23" s="165" t="n">
        <v>0</v>
      </c>
      <c r="E23" s="165" t="n">
        <v>0</v>
      </c>
      <c r="F23" s="165" t="n">
        <v>0</v>
      </c>
      <c r="G23" s="165" t="n">
        <v>0</v>
      </c>
      <c r="H23" s="165" t="n">
        <v>0</v>
      </c>
      <c r="I23" s="165" t="n">
        <v>0</v>
      </c>
      <c r="J23" s="165" t="n">
        <v>0</v>
      </c>
      <c r="K23" s="165" t="n">
        <v>0</v>
      </c>
      <c r="L23" s="165" t="n">
        <v>0</v>
      </c>
      <c r="M23" s="165" t="n">
        <v>0</v>
      </c>
      <c r="N23" s="159" t="n">
        <v>0</v>
      </c>
      <c r="O23" s="159" t="n">
        <v>0</v>
      </c>
      <c r="P23" s="159" t="n">
        <v>0</v>
      </c>
      <c r="Q23" s="159">
        <f>'Mine Inventory'!AH5</f>
        <v/>
      </c>
      <c r="R23" s="159">
        <f>'Mine Inventory'!AH5</f>
        <v/>
      </c>
      <c r="S23" s="159">
        <f>'Mine Inventory'!AH5</f>
        <v/>
      </c>
      <c r="T23" s="159">
        <f>'Mine Inventory'!AH5</f>
        <v/>
      </c>
      <c r="U23" s="159">
        <f>'Mine Inventory'!AH5</f>
        <v/>
      </c>
      <c r="V23" s="159">
        <f>'Mine Inventory'!AH5</f>
        <v/>
      </c>
      <c r="W23" s="159">
        <f>'Mine Inventory'!AH5</f>
        <v/>
      </c>
      <c r="X23" s="159">
        <f>'Mine Inventory'!AH5</f>
        <v/>
      </c>
      <c r="Y23" s="159">
        <f>'Mine Inventory'!AH5</f>
        <v/>
      </c>
      <c r="Z23" s="159">
        <f>'Mine Inventory'!AH5</f>
        <v/>
      </c>
      <c r="AA23" s="159">
        <f>'Mine Inventory'!AH5</f>
        <v/>
      </c>
      <c r="AB23" s="159">
        <f>'Mine Inventory'!AH5</f>
        <v/>
      </c>
      <c r="AC23" s="159">
        <f>'Mine Inventory'!AI5</f>
        <v/>
      </c>
      <c r="AD23" s="159">
        <f>'Mine Inventory'!AI5</f>
        <v/>
      </c>
      <c r="AE23" s="159">
        <f>'Mine Inventory'!AI5</f>
        <v/>
      </c>
      <c r="AF23" s="159">
        <f>'Mine Inventory'!AI5</f>
        <v/>
      </c>
      <c r="AG23" s="159">
        <f>'Mine Inventory'!AI5</f>
        <v/>
      </c>
      <c r="AH23" s="159">
        <f>'Mine Inventory'!AI5</f>
        <v/>
      </c>
      <c r="AI23" s="159">
        <f>'Mine Inventory'!AI5</f>
        <v/>
      </c>
      <c r="AJ23" s="159">
        <f>'Mine Inventory'!AI5</f>
        <v/>
      </c>
      <c r="AK23" s="159">
        <f>'Mine Inventory'!AI5</f>
        <v/>
      </c>
      <c r="AL23" s="159">
        <f>'Mine Inventory'!AI5</f>
        <v/>
      </c>
      <c r="AM23" s="159">
        <f>'Mine Inventory'!AI5</f>
        <v/>
      </c>
      <c r="AN23" s="159">
        <f>'Mine Inventory'!AI5</f>
        <v/>
      </c>
      <c r="AO23" s="159">
        <f>'Mine Inventory'!AI5</f>
        <v/>
      </c>
      <c r="AP23" s="159">
        <f>'Mine Inventory'!AI5</f>
        <v/>
      </c>
      <c r="AQ23" s="159">
        <f>'Mine Inventory'!AI5</f>
        <v/>
      </c>
      <c r="AR23" s="159">
        <f>'Mine Inventory'!AI5</f>
        <v/>
      </c>
      <c r="AS23" s="159">
        <f>'Mine Inventory'!AI5</f>
        <v/>
      </c>
      <c r="AT23" s="159">
        <f>'Mine Inventory'!AI5</f>
        <v/>
      </c>
      <c r="AU23" s="159">
        <f>'Mine Inventory'!AI5</f>
        <v/>
      </c>
      <c r="AV23" s="159">
        <f>'Mine Inventory'!AI5</f>
        <v/>
      </c>
      <c r="AW23" s="159">
        <f>'Mine Inventory'!AI5</f>
        <v/>
      </c>
      <c r="AX23" s="159">
        <f>'Mine Inventory'!AI5</f>
        <v/>
      </c>
      <c r="AY23" s="159">
        <f>'Mine Inventory'!AI5</f>
        <v/>
      </c>
      <c r="AZ23" s="159">
        <f>'Mine Inventory'!AI5</f>
        <v/>
      </c>
      <c r="BA23" s="159">
        <f>'Mine Inventory'!AI5</f>
        <v/>
      </c>
      <c r="BB23" s="159">
        <f>'Mine Inventory'!AI5</f>
        <v/>
      </c>
      <c r="BC23" s="159">
        <f>'Mine Inventory'!AI5</f>
        <v/>
      </c>
      <c r="BD23" s="159">
        <f>'Mine Inventory'!AI5</f>
        <v/>
      </c>
      <c r="BE23" s="159">
        <f>'Mine Inventory'!AI5</f>
        <v/>
      </c>
      <c r="BF23" s="159">
        <f>'Mine Inventory'!AI5</f>
        <v/>
      </c>
      <c r="BG23" s="159">
        <f>'Mine Inventory'!AI5</f>
        <v/>
      </c>
      <c r="BH23" s="159">
        <f>'Mine Inventory'!AI5</f>
        <v/>
      </c>
      <c r="BI23" s="176">
        <f>'Mine Inventory'!AI5</f>
        <v/>
      </c>
    </row>
    <row r="24">
      <c r="A24" s="38" t="inlineStr">
        <is>
          <t>Mine 5</t>
        </is>
      </c>
      <c r="B24" s="165" t="n">
        <v>0</v>
      </c>
      <c r="C24" s="165" t="n">
        <v>0</v>
      </c>
      <c r="D24" s="165" t="n">
        <v>0</v>
      </c>
      <c r="E24" s="165" t="n">
        <v>0</v>
      </c>
      <c r="F24" s="165" t="n">
        <v>0</v>
      </c>
      <c r="G24" s="165" t="n">
        <v>0</v>
      </c>
      <c r="H24" s="165" t="n">
        <v>0</v>
      </c>
      <c r="I24" s="165" t="n">
        <v>0</v>
      </c>
      <c r="J24" s="165" t="n">
        <v>0</v>
      </c>
      <c r="K24" s="165" t="n">
        <v>0</v>
      </c>
      <c r="L24" s="165" t="n">
        <v>0</v>
      </c>
      <c r="M24" s="165" t="n">
        <v>0</v>
      </c>
      <c r="N24" s="159" t="n">
        <v>0</v>
      </c>
      <c r="O24" s="159" t="n">
        <v>0</v>
      </c>
      <c r="P24" s="159" t="n">
        <v>0</v>
      </c>
      <c r="Q24" s="159" t="n">
        <v>0</v>
      </c>
      <c r="R24" s="159" t="n">
        <v>0</v>
      </c>
      <c r="S24" s="159" t="n">
        <v>0</v>
      </c>
      <c r="T24" s="159">
        <f>'Mine Inventory'!AH6</f>
        <v/>
      </c>
      <c r="U24" s="159">
        <f>'Mine Inventory'!AH6</f>
        <v/>
      </c>
      <c r="V24" s="159">
        <f>'Mine Inventory'!AH6</f>
        <v/>
      </c>
      <c r="W24" s="159">
        <f>'Mine Inventory'!AH6</f>
        <v/>
      </c>
      <c r="X24" s="159">
        <f>'Mine Inventory'!AH6</f>
        <v/>
      </c>
      <c r="Y24" s="159">
        <f>'Mine Inventory'!AH6</f>
        <v/>
      </c>
      <c r="Z24" s="159">
        <f>'Mine Inventory'!AH6</f>
        <v/>
      </c>
      <c r="AA24" s="159">
        <f>'Mine Inventory'!AH6</f>
        <v/>
      </c>
      <c r="AB24" s="159">
        <f>'Mine Inventory'!AH6</f>
        <v/>
      </c>
      <c r="AC24" s="159">
        <f>'Mine Inventory'!AH6</f>
        <v/>
      </c>
      <c r="AD24" s="159">
        <f>'Mine Inventory'!AH6</f>
        <v/>
      </c>
      <c r="AE24" s="159">
        <f>'Mine Inventory'!AH6</f>
        <v/>
      </c>
      <c r="AF24" s="159">
        <f>'Mine Inventory'!AI6</f>
        <v/>
      </c>
      <c r="AG24" s="159">
        <f>'Mine Inventory'!AI6</f>
        <v/>
      </c>
      <c r="AH24" s="159">
        <f>'Mine Inventory'!AI6</f>
        <v/>
      </c>
      <c r="AI24" s="159">
        <f>'Mine Inventory'!AI6</f>
        <v/>
      </c>
      <c r="AJ24" s="159">
        <f>'Mine Inventory'!AI6</f>
        <v/>
      </c>
      <c r="AK24" s="159">
        <f>'Mine Inventory'!AI6</f>
        <v/>
      </c>
      <c r="AL24" s="159">
        <f>'Mine Inventory'!AI6</f>
        <v/>
      </c>
      <c r="AM24" s="159">
        <f>'Mine Inventory'!AI6</f>
        <v/>
      </c>
      <c r="AN24" s="159">
        <f>'Mine Inventory'!AI6</f>
        <v/>
      </c>
      <c r="AO24" s="159">
        <f>'Mine Inventory'!AI6</f>
        <v/>
      </c>
      <c r="AP24" s="159">
        <f>'Mine Inventory'!AI6</f>
        <v/>
      </c>
      <c r="AQ24" s="159">
        <f>'Mine Inventory'!AI6</f>
        <v/>
      </c>
      <c r="AR24" s="159">
        <f>'Mine Inventory'!AI6</f>
        <v/>
      </c>
      <c r="AS24" s="159">
        <f>'Mine Inventory'!AI6</f>
        <v/>
      </c>
      <c r="AT24" s="159">
        <f>'Mine Inventory'!AI6</f>
        <v/>
      </c>
      <c r="AU24" s="159">
        <f>'Mine Inventory'!AI6</f>
        <v/>
      </c>
      <c r="AV24" s="159">
        <f>'Mine Inventory'!AI6</f>
        <v/>
      </c>
      <c r="AW24" s="159">
        <f>'Mine Inventory'!AI6</f>
        <v/>
      </c>
      <c r="AX24" s="159">
        <f>'Mine Inventory'!AI6</f>
        <v/>
      </c>
      <c r="AY24" s="159">
        <f>'Mine Inventory'!AI6</f>
        <v/>
      </c>
      <c r="AZ24" s="159">
        <f>'Mine Inventory'!AI6</f>
        <v/>
      </c>
      <c r="BA24" s="159">
        <f>'Mine Inventory'!AI6</f>
        <v/>
      </c>
      <c r="BB24" s="159">
        <f>'Mine Inventory'!AI6</f>
        <v/>
      </c>
      <c r="BC24" s="159">
        <f>'Mine Inventory'!AI6</f>
        <v/>
      </c>
      <c r="BD24" s="159">
        <f>'Mine Inventory'!AI6</f>
        <v/>
      </c>
      <c r="BE24" s="159">
        <f>'Mine Inventory'!AI6</f>
        <v/>
      </c>
      <c r="BF24" s="159">
        <f>'Mine Inventory'!AI6</f>
        <v/>
      </c>
      <c r="BG24" s="159">
        <f>'Mine Inventory'!AI6</f>
        <v/>
      </c>
      <c r="BH24" s="159">
        <f>'Mine Inventory'!AI6</f>
        <v/>
      </c>
      <c r="BI24" s="176">
        <f>'Mine Inventory'!AI6</f>
        <v/>
      </c>
    </row>
    <row r="25">
      <c r="A25" s="38" t="inlineStr">
        <is>
          <t>Mine 6</t>
        </is>
      </c>
      <c r="B25" s="165" t="n">
        <v>0</v>
      </c>
      <c r="C25" s="165" t="n">
        <v>0</v>
      </c>
      <c r="D25" s="165" t="n">
        <v>0</v>
      </c>
      <c r="E25" s="165" t="n">
        <v>0</v>
      </c>
      <c r="F25" s="165" t="n">
        <v>0</v>
      </c>
      <c r="G25" s="165" t="n">
        <v>0</v>
      </c>
      <c r="H25" s="165" t="n">
        <v>0</v>
      </c>
      <c r="I25" s="165" t="n">
        <v>0</v>
      </c>
      <c r="J25" s="165" t="n">
        <v>0</v>
      </c>
      <c r="K25" s="165" t="n">
        <v>0</v>
      </c>
      <c r="L25" s="165" t="n">
        <v>0</v>
      </c>
      <c r="M25" s="165" t="n">
        <v>0</v>
      </c>
      <c r="N25" s="159" t="n">
        <v>0</v>
      </c>
      <c r="O25" s="159" t="n">
        <v>0</v>
      </c>
      <c r="P25" s="159" t="n">
        <v>0</v>
      </c>
      <c r="Q25" s="159" t="n">
        <v>0</v>
      </c>
      <c r="R25" s="159" t="n">
        <v>0</v>
      </c>
      <c r="S25" s="159" t="n">
        <v>0</v>
      </c>
      <c r="T25" s="159" t="n">
        <v>0</v>
      </c>
      <c r="U25" s="159" t="n">
        <v>0</v>
      </c>
      <c r="V25" s="159" t="n">
        <v>0</v>
      </c>
      <c r="W25" s="159" t="n">
        <v>0</v>
      </c>
      <c r="X25" s="159" t="n">
        <v>0</v>
      </c>
      <c r="Y25" s="159">
        <f>'Mine Inventory'!AH7</f>
        <v/>
      </c>
      <c r="Z25" s="159">
        <f>'Mine Inventory'!AH7</f>
        <v/>
      </c>
      <c r="AA25" s="159">
        <f>'Mine Inventory'!AH7</f>
        <v/>
      </c>
      <c r="AB25" s="159">
        <f>'Mine Inventory'!AH7</f>
        <v/>
      </c>
      <c r="AC25" s="159">
        <f>'Mine Inventory'!AH7</f>
        <v/>
      </c>
      <c r="AD25" s="159">
        <f>'Mine Inventory'!AH7</f>
        <v/>
      </c>
      <c r="AE25" s="159">
        <f>'Mine Inventory'!AH7</f>
        <v/>
      </c>
      <c r="AF25" s="159">
        <f>'Mine Inventory'!AH7</f>
        <v/>
      </c>
      <c r="AG25" s="159">
        <f>'Mine Inventory'!AH7</f>
        <v/>
      </c>
      <c r="AH25" s="159">
        <f>'Mine Inventory'!AH7</f>
        <v/>
      </c>
      <c r="AI25" s="159">
        <f>'Mine Inventory'!AH7</f>
        <v/>
      </c>
      <c r="AJ25" s="159">
        <f>'Mine Inventory'!AH7</f>
        <v/>
      </c>
      <c r="AK25" s="159">
        <f>'Mine Inventory'!AI7</f>
        <v/>
      </c>
      <c r="AL25" s="159">
        <f>'Mine Inventory'!AI7</f>
        <v/>
      </c>
      <c r="AM25" s="159">
        <f>'Mine Inventory'!AI7</f>
        <v/>
      </c>
      <c r="AN25" s="159">
        <f>'Mine Inventory'!AI7</f>
        <v/>
      </c>
      <c r="AO25" s="159">
        <f>'Mine Inventory'!AI7</f>
        <v/>
      </c>
      <c r="AP25" s="159">
        <f>'Mine Inventory'!AI7</f>
        <v/>
      </c>
      <c r="AQ25" s="159">
        <f>'Mine Inventory'!AI7</f>
        <v/>
      </c>
      <c r="AR25" s="159">
        <f>'Mine Inventory'!AI7</f>
        <v/>
      </c>
      <c r="AS25" s="159">
        <f>'Mine Inventory'!AI7</f>
        <v/>
      </c>
      <c r="AT25" s="159">
        <f>'Mine Inventory'!AI7</f>
        <v/>
      </c>
      <c r="AU25" s="159">
        <f>'Mine Inventory'!AI7</f>
        <v/>
      </c>
      <c r="AV25" s="159">
        <f>'Mine Inventory'!AI7</f>
        <v/>
      </c>
      <c r="AW25" s="159">
        <f>'Mine Inventory'!AI7</f>
        <v/>
      </c>
      <c r="AX25" s="159">
        <f>'Mine Inventory'!AI7</f>
        <v/>
      </c>
      <c r="AY25" s="159">
        <f>'Mine Inventory'!AI7</f>
        <v/>
      </c>
      <c r="AZ25" s="159">
        <f>'Mine Inventory'!AI7</f>
        <v/>
      </c>
      <c r="BA25" s="159">
        <f>'Mine Inventory'!AI7</f>
        <v/>
      </c>
      <c r="BB25" s="159">
        <f>'Mine Inventory'!AI7</f>
        <v/>
      </c>
      <c r="BC25" s="159">
        <f>'Mine Inventory'!AI7</f>
        <v/>
      </c>
      <c r="BD25" s="159">
        <f>'Mine Inventory'!AI7</f>
        <v/>
      </c>
      <c r="BE25" s="159">
        <f>'Mine Inventory'!AI7</f>
        <v/>
      </c>
      <c r="BF25" s="159">
        <f>'Mine Inventory'!AI7</f>
        <v/>
      </c>
      <c r="BG25" s="159">
        <f>'Mine Inventory'!AI7</f>
        <v/>
      </c>
      <c r="BH25" s="159">
        <f>'Mine Inventory'!AI7</f>
        <v/>
      </c>
      <c r="BI25" s="176">
        <f>'Mine Inventory'!AI7</f>
        <v/>
      </c>
    </row>
    <row r="26">
      <c r="A26" s="38" t="inlineStr">
        <is>
          <t>Mine 7</t>
        </is>
      </c>
      <c r="B26" s="165" t="n">
        <v>0</v>
      </c>
      <c r="C26" s="165" t="n">
        <v>0</v>
      </c>
      <c r="D26" s="165" t="n">
        <v>0</v>
      </c>
      <c r="E26" s="165" t="n">
        <v>0</v>
      </c>
      <c r="F26" s="165" t="n">
        <v>0</v>
      </c>
      <c r="G26" s="165" t="n">
        <v>0</v>
      </c>
      <c r="H26" s="165" t="n">
        <v>0</v>
      </c>
      <c r="I26" s="165" t="n">
        <v>0</v>
      </c>
      <c r="J26" s="165" t="n">
        <v>0</v>
      </c>
      <c r="K26" s="165" t="n">
        <v>0</v>
      </c>
      <c r="L26" s="165" t="n">
        <v>0</v>
      </c>
      <c r="M26" s="165" t="n">
        <v>0</v>
      </c>
      <c r="N26" s="159" t="n">
        <v>0</v>
      </c>
      <c r="O26" s="159" t="n">
        <v>0</v>
      </c>
      <c r="P26" s="159" t="n">
        <v>0</v>
      </c>
      <c r="Q26" s="159" t="n">
        <v>0</v>
      </c>
      <c r="R26" s="159" t="n">
        <v>0</v>
      </c>
      <c r="S26" s="159" t="n">
        <v>0</v>
      </c>
      <c r="T26" s="159" t="n">
        <v>0</v>
      </c>
      <c r="U26" s="159" t="n">
        <v>0</v>
      </c>
      <c r="V26" s="159" t="n">
        <v>0</v>
      </c>
      <c r="W26" s="159" t="n">
        <v>0</v>
      </c>
      <c r="X26" s="159" t="n">
        <v>0</v>
      </c>
      <c r="Y26" s="159" t="n">
        <v>0</v>
      </c>
      <c r="Z26" s="159" t="n">
        <v>0</v>
      </c>
      <c r="AA26" s="159" t="n">
        <v>0</v>
      </c>
      <c r="AB26" s="159">
        <f>'Mine Inventory'!AH8</f>
        <v/>
      </c>
      <c r="AC26" s="159">
        <f>'Mine Inventory'!AH8</f>
        <v/>
      </c>
      <c r="AD26" s="159">
        <f>'Mine Inventory'!AH8</f>
        <v/>
      </c>
      <c r="AE26" s="159">
        <f>'Mine Inventory'!AH8</f>
        <v/>
      </c>
      <c r="AF26" s="159">
        <f>'Mine Inventory'!AH8</f>
        <v/>
      </c>
      <c r="AG26" s="159">
        <f>'Mine Inventory'!AH8</f>
        <v/>
      </c>
      <c r="AH26" s="159">
        <f>'Mine Inventory'!AH8</f>
        <v/>
      </c>
      <c r="AI26" s="159">
        <f>'Mine Inventory'!AH8</f>
        <v/>
      </c>
      <c r="AJ26" s="159">
        <f>'Mine Inventory'!AH8</f>
        <v/>
      </c>
      <c r="AK26" s="159">
        <f>'Mine Inventory'!AH8</f>
        <v/>
      </c>
      <c r="AL26" s="159">
        <f>'Mine Inventory'!AH8</f>
        <v/>
      </c>
      <c r="AM26" s="159">
        <f>'Mine Inventory'!AH8</f>
        <v/>
      </c>
      <c r="AN26" s="159">
        <f>'Mine Inventory'!AI8</f>
        <v/>
      </c>
      <c r="AO26" s="159">
        <f>'Mine Inventory'!AI8</f>
        <v/>
      </c>
      <c r="AP26" s="159">
        <f>'Mine Inventory'!AI8</f>
        <v/>
      </c>
      <c r="AQ26" s="159">
        <f>'Mine Inventory'!AI8</f>
        <v/>
      </c>
      <c r="AR26" s="159">
        <f>'Mine Inventory'!AI8</f>
        <v/>
      </c>
      <c r="AS26" s="159">
        <f>'Mine Inventory'!AI8</f>
        <v/>
      </c>
      <c r="AT26" s="159">
        <f>'Mine Inventory'!AI8</f>
        <v/>
      </c>
      <c r="AU26" s="159">
        <f>'Mine Inventory'!AI8</f>
        <v/>
      </c>
      <c r="AV26" s="159">
        <f>'Mine Inventory'!AI8</f>
        <v/>
      </c>
      <c r="AW26" s="159">
        <f>'Mine Inventory'!AI8</f>
        <v/>
      </c>
      <c r="AX26" s="159">
        <f>'Mine Inventory'!AI8</f>
        <v/>
      </c>
      <c r="AY26" s="159">
        <f>'Mine Inventory'!AI8</f>
        <v/>
      </c>
      <c r="AZ26" s="159">
        <f>'Mine Inventory'!AI8</f>
        <v/>
      </c>
      <c r="BA26" s="159">
        <f>'Mine Inventory'!AI8</f>
        <v/>
      </c>
      <c r="BB26" s="159">
        <f>'Mine Inventory'!AI8</f>
        <v/>
      </c>
      <c r="BC26" s="159">
        <f>'Mine Inventory'!AI8</f>
        <v/>
      </c>
      <c r="BD26" s="159">
        <f>'Mine Inventory'!AI8</f>
        <v/>
      </c>
      <c r="BE26" s="159">
        <f>'Mine Inventory'!AI8</f>
        <v/>
      </c>
      <c r="BF26" s="159">
        <f>'Mine Inventory'!AI8</f>
        <v/>
      </c>
      <c r="BG26" s="159">
        <f>'Mine Inventory'!AI8</f>
        <v/>
      </c>
      <c r="BH26" s="159">
        <f>'Mine Inventory'!AI8</f>
        <v/>
      </c>
      <c r="BI26" s="176">
        <f>'Mine Inventory'!AI8</f>
        <v/>
      </c>
    </row>
    <row r="27">
      <c r="A27" s="38" t="inlineStr">
        <is>
          <t>Mine 8</t>
        </is>
      </c>
      <c r="B27" s="165" t="n">
        <v>0</v>
      </c>
      <c r="C27" s="165" t="n">
        <v>0</v>
      </c>
      <c r="D27" s="165" t="n">
        <v>0</v>
      </c>
      <c r="E27" s="165" t="n">
        <v>0</v>
      </c>
      <c r="F27" s="165" t="n">
        <v>0</v>
      </c>
      <c r="G27" s="165" t="n">
        <v>0</v>
      </c>
      <c r="H27" s="165" t="n">
        <v>0</v>
      </c>
      <c r="I27" s="165" t="n">
        <v>0</v>
      </c>
      <c r="J27" s="165" t="n">
        <v>0</v>
      </c>
      <c r="K27" s="165" t="n">
        <v>0</v>
      </c>
      <c r="L27" s="165" t="n">
        <v>0</v>
      </c>
      <c r="M27" s="165" t="n">
        <v>0</v>
      </c>
      <c r="N27" s="159" t="n">
        <v>0</v>
      </c>
      <c r="O27" s="159" t="n">
        <v>0</v>
      </c>
      <c r="P27" s="159" t="n">
        <v>0</v>
      </c>
      <c r="Q27" s="159" t="n">
        <v>0</v>
      </c>
      <c r="R27" s="159" t="n">
        <v>0</v>
      </c>
      <c r="S27" s="159" t="n">
        <v>0</v>
      </c>
      <c r="T27" s="159" t="n">
        <v>0</v>
      </c>
      <c r="U27" s="159" t="n">
        <v>0</v>
      </c>
      <c r="V27" s="159" t="n">
        <v>0</v>
      </c>
      <c r="W27" s="159" t="n">
        <v>0</v>
      </c>
      <c r="X27" s="159" t="n">
        <v>0</v>
      </c>
      <c r="Y27" s="159" t="n">
        <v>0</v>
      </c>
      <c r="Z27" s="159" t="n">
        <v>0</v>
      </c>
      <c r="AA27" s="159" t="n">
        <v>0</v>
      </c>
      <c r="AB27" s="159" t="n">
        <v>0</v>
      </c>
      <c r="AC27" s="159" t="n">
        <v>0</v>
      </c>
      <c r="AD27" s="159" t="n">
        <v>0</v>
      </c>
      <c r="AE27" s="159" t="n">
        <v>0</v>
      </c>
      <c r="AF27" s="159">
        <f>'Mine Inventory'!AH10</f>
        <v/>
      </c>
      <c r="AG27" s="159">
        <f>'Mine Inventory'!AH10</f>
        <v/>
      </c>
      <c r="AH27" s="159">
        <f>'Mine Inventory'!AH10</f>
        <v/>
      </c>
      <c r="AI27" s="159">
        <f>'Mine Inventory'!AH10</f>
        <v/>
      </c>
      <c r="AJ27" s="159">
        <f>'Mine Inventory'!AH10</f>
        <v/>
      </c>
      <c r="AK27" s="159">
        <f>'Mine Inventory'!AH10</f>
        <v/>
      </c>
      <c r="AL27" s="159">
        <f>'Mine Inventory'!AH10</f>
        <v/>
      </c>
      <c r="AM27" s="159">
        <f>'Mine Inventory'!AH10</f>
        <v/>
      </c>
      <c r="AN27" s="159">
        <f>'Mine Inventory'!AH10</f>
        <v/>
      </c>
      <c r="AO27" s="159">
        <f>'Mine Inventory'!AH10</f>
        <v/>
      </c>
      <c r="AP27" s="159">
        <f>'Mine Inventory'!AH10</f>
        <v/>
      </c>
      <c r="AQ27" s="159">
        <f>'Mine Inventory'!AH10</f>
        <v/>
      </c>
      <c r="AR27" s="159">
        <f>'Mine Inventory'!AI10</f>
        <v/>
      </c>
      <c r="AS27" s="159">
        <f>'Mine Inventory'!AI10</f>
        <v/>
      </c>
      <c r="AT27" s="159">
        <f>'Mine Inventory'!AI10</f>
        <v/>
      </c>
      <c r="AU27" s="159">
        <f>'Mine Inventory'!AI10</f>
        <v/>
      </c>
      <c r="AV27" s="159">
        <f>'Mine Inventory'!AI10</f>
        <v/>
      </c>
      <c r="AW27" s="159">
        <f>'Mine Inventory'!AI10</f>
        <v/>
      </c>
      <c r="AX27" s="159">
        <f>'Mine Inventory'!AI10</f>
        <v/>
      </c>
      <c r="AY27" s="159">
        <f>'Mine Inventory'!AI10</f>
        <v/>
      </c>
      <c r="AZ27" s="159">
        <f>'Mine Inventory'!AI10</f>
        <v/>
      </c>
      <c r="BA27" s="159">
        <f>'Mine Inventory'!AI10</f>
        <v/>
      </c>
      <c r="BB27" s="159">
        <f>'Mine Inventory'!AI10</f>
        <v/>
      </c>
      <c r="BC27" s="159">
        <f>'Mine Inventory'!AI10</f>
        <v/>
      </c>
      <c r="BD27" s="159">
        <f>'Mine Inventory'!AI10</f>
        <v/>
      </c>
      <c r="BE27" s="159">
        <f>'Mine Inventory'!AI10</f>
        <v/>
      </c>
      <c r="BF27" s="159">
        <f>'Mine Inventory'!AI10</f>
        <v/>
      </c>
      <c r="BG27" s="159">
        <f>'Mine Inventory'!AI10</f>
        <v/>
      </c>
      <c r="BH27" s="159">
        <f>'Mine Inventory'!AI10</f>
        <v/>
      </c>
      <c r="BI27" s="176">
        <f>'Mine Inventory'!AI10</f>
        <v/>
      </c>
    </row>
    <row r="28">
      <c r="A28" s="38" t="inlineStr">
        <is>
          <t>Mine 9</t>
        </is>
      </c>
      <c r="B28" s="165" t="n">
        <v>0</v>
      </c>
      <c r="C28" s="165" t="n">
        <v>0</v>
      </c>
      <c r="D28" s="165" t="n">
        <v>0</v>
      </c>
      <c r="E28" s="165" t="n">
        <v>0</v>
      </c>
      <c r="F28" s="165" t="n">
        <v>0</v>
      </c>
      <c r="G28" s="165" t="n">
        <v>0</v>
      </c>
      <c r="H28" s="165" t="n">
        <v>0</v>
      </c>
      <c r="I28" s="165" t="n">
        <v>0</v>
      </c>
      <c r="J28" s="165" t="n">
        <v>0</v>
      </c>
      <c r="K28" s="165" t="n">
        <v>0</v>
      </c>
      <c r="L28" s="165" t="n">
        <v>0</v>
      </c>
      <c r="M28" s="165" t="n">
        <v>0</v>
      </c>
      <c r="N28" s="159" t="n">
        <v>0</v>
      </c>
      <c r="O28" s="159" t="n">
        <v>0</v>
      </c>
      <c r="P28" s="159" t="n">
        <v>0</v>
      </c>
      <c r="Q28" s="159" t="n">
        <v>0</v>
      </c>
      <c r="R28" s="159" t="n">
        <v>0</v>
      </c>
      <c r="S28" s="159" t="n">
        <v>0</v>
      </c>
      <c r="T28" s="159" t="n">
        <v>0</v>
      </c>
      <c r="U28" s="159" t="n">
        <v>0</v>
      </c>
      <c r="V28" s="159" t="n">
        <v>0</v>
      </c>
      <c r="W28" s="159" t="n">
        <v>0</v>
      </c>
      <c r="X28" s="159" t="n">
        <v>0</v>
      </c>
      <c r="Y28" s="159" t="n">
        <v>0</v>
      </c>
      <c r="Z28" s="159" t="n">
        <v>0</v>
      </c>
      <c r="AA28" s="159" t="n">
        <v>0</v>
      </c>
      <c r="AB28" s="159" t="n">
        <v>0</v>
      </c>
      <c r="AC28" s="159" t="n">
        <v>0</v>
      </c>
      <c r="AD28" s="159" t="n">
        <v>0</v>
      </c>
      <c r="AE28" s="159" t="n">
        <v>0</v>
      </c>
      <c r="AF28" s="159" t="n">
        <v>0</v>
      </c>
      <c r="AG28" s="159" t="n">
        <v>0</v>
      </c>
      <c r="AH28" s="159" t="n">
        <v>0</v>
      </c>
      <c r="AI28" s="159" t="n">
        <v>0</v>
      </c>
      <c r="AJ28" s="159">
        <f>'Mine Inventory'!AH9</f>
        <v/>
      </c>
      <c r="AK28" s="159">
        <f>'Mine Inventory'!AH9</f>
        <v/>
      </c>
      <c r="AL28" s="159">
        <f>'Mine Inventory'!AH9</f>
        <v/>
      </c>
      <c r="AM28" s="159">
        <f>'Mine Inventory'!AH9</f>
        <v/>
      </c>
      <c r="AN28" s="159">
        <f>'Mine Inventory'!AH9</f>
        <v/>
      </c>
      <c r="AO28" s="159">
        <f>'Mine Inventory'!AH9</f>
        <v/>
      </c>
      <c r="AP28" s="159">
        <f>'Mine Inventory'!AH9</f>
        <v/>
      </c>
      <c r="AQ28" s="159">
        <f>'Mine Inventory'!AH9</f>
        <v/>
      </c>
      <c r="AR28" s="159">
        <f>'Mine Inventory'!AH9</f>
        <v/>
      </c>
      <c r="AS28" s="159">
        <f>'Mine Inventory'!AH9</f>
        <v/>
      </c>
      <c r="AT28" s="159">
        <f>'Mine Inventory'!AH9</f>
        <v/>
      </c>
      <c r="AU28" s="159">
        <f>'Mine Inventory'!AH9</f>
        <v/>
      </c>
      <c r="AV28" s="159">
        <f>'Mine Inventory'!AI9</f>
        <v/>
      </c>
      <c r="AW28" s="159">
        <f>'Mine Inventory'!AI9</f>
        <v/>
      </c>
      <c r="AX28" s="159">
        <f>'Mine Inventory'!AI9</f>
        <v/>
      </c>
      <c r="AY28" s="159">
        <f>'Mine Inventory'!AI9</f>
        <v/>
      </c>
      <c r="AZ28" s="159">
        <f>'Mine Inventory'!AI9</f>
        <v/>
      </c>
      <c r="BA28" s="159">
        <f>'Mine Inventory'!AI9</f>
        <v/>
      </c>
      <c r="BB28" s="159">
        <f>'Mine Inventory'!AI9</f>
        <v/>
      </c>
      <c r="BC28" s="159">
        <f>'Mine Inventory'!AI9</f>
        <v/>
      </c>
      <c r="BD28" s="159">
        <f>'Mine Inventory'!AI9</f>
        <v/>
      </c>
      <c r="BE28" s="159">
        <f>'Mine Inventory'!AI9</f>
        <v/>
      </c>
      <c r="BF28" s="159">
        <f>'Mine Inventory'!AI9</f>
        <v/>
      </c>
      <c r="BG28" s="159">
        <f>'Mine Inventory'!AI9</f>
        <v/>
      </c>
      <c r="BH28" s="159">
        <f>'Mine Inventory'!AI9</f>
        <v/>
      </c>
      <c r="BI28" s="176">
        <f>'Mine Inventory'!AI9</f>
        <v/>
      </c>
    </row>
    <row r="29">
      <c r="A29" s="38" t="inlineStr">
        <is>
          <t>Mine 10</t>
        </is>
      </c>
      <c r="B29" s="165" t="n">
        <v>0</v>
      </c>
      <c r="C29" s="165" t="n">
        <v>0</v>
      </c>
      <c r="D29" s="165" t="n">
        <v>0</v>
      </c>
      <c r="E29" s="165" t="n">
        <v>0</v>
      </c>
      <c r="F29" s="165" t="n">
        <v>0</v>
      </c>
      <c r="G29" s="165" t="n">
        <v>0</v>
      </c>
      <c r="H29" s="165" t="n">
        <v>0</v>
      </c>
      <c r="I29" s="165" t="n">
        <v>0</v>
      </c>
      <c r="J29" s="165" t="n">
        <v>0</v>
      </c>
      <c r="K29" s="165" t="n">
        <v>0</v>
      </c>
      <c r="L29" s="165" t="n">
        <v>0</v>
      </c>
      <c r="M29" s="165" t="n">
        <v>0</v>
      </c>
      <c r="N29" s="159" t="n">
        <v>0</v>
      </c>
      <c r="O29" s="159" t="n">
        <v>0</v>
      </c>
      <c r="P29" s="159" t="n">
        <v>0</v>
      </c>
      <c r="Q29" s="159" t="n">
        <v>0</v>
      </c>
      <c r="R29" s="159" t="n">
        <v>0</v>
      </c>
      <c r="S29" s="159" t="n">
        <v>0</v>
      </c>
      <c r="T29" s="159" t="n">
        <v>0</v>
      </c>
      <c r="U29" s="159" t="n">
        <v>0</v>
      </c>
      <c r="V29" s="159" t="n">
        <v>0</v>
      </c>
      <c r="W29" s="159" t="n">
        <v>0</v>
      </c>
      <c r="X29" s="159" t="n">
        <v>0</v>
      </c>
      <c r="Y29" s="159" t="n">
        <v>0</v>
      </c>
      <c r="Z29" s="159" t="n">
        <v>0</v>
      </c>
      <c r="AA29" s="159" t="n">
        <v>0</v>
      </c>
      <c r="AB29" s="159" t="n">
        <v>0</v>
      </c>
      <c r="AC29" s="159" t="n">
        <v>0</v>
      </c>
      <c r="AD29" s="159" t="n">
        <v>0</v>
      </c>
      <c r="AE29" s="159" t="n">
        <v>0</v>
      </c>
      <c r="AF29" s="159" t="n">
        <v>0</v>
      </c>
      <c r="AG29" s="159" t="n">
        <v>0</v>
      </c>
      <c r="AH29" s="159" t="n">
        <v>0</v>
      </c>
      <c r="AI29" s="159" t="n">
        <v>0</v>
      </c>
      <c r="AJ29" s="159" t="n">
        <v>0</v>
      </c>
      <c r="AK29" s="159" t="n">
        <v>0</v>
      </c>
      <c r="AL29" s="159" t="n">
        <v>0</v>
      </c>
      <c r="AM29" s="159">
        <f>'Mine Inventory'!AH11</f>
        <v/>
      </c>
      <c r="AN29" s="159">
        <f>'Mine Inventory'!AH11</f>
        <v/>
      </c>
      <c r="AO29" s="159">
        <f>'Mine Inventory'!AH11</f>
        <v/>
      </c>
      <c r="AP29" s="159">
        <f>'Mine Inventory'!AH11</f>
        <v/>
      </c>
      <c r="AQ29" s="159">
        <f>'Mine Inventory'!AH11</f>
        <v/>
      </c>
      <c r="AR29" s="159">
        <f>'Mine Inventory'!AH11</f>
        <v/>
      </c>
      <c r="AS29" s="159">
        <f>'Mine Inventory'!AH11</f>
        <v/>
      </c>
      <c r="AT29" s="159">
        <f>'Mine Inventory'!AH11</f>
        <v/>
      </c>
      <c r="AU29" s="159">
        <f>'Mine Inventory'!AH11</f>
        <v/>
      </c>
      <c r="AV29" s="159">
        <f>'Mine Inventory'!AH11</f>
        <v/>
      </c>
      <c r="AW29" s="159">
        <f>'Mine Inventory'!AH11</f>
        <v/>
      </c>
      <c r="AX29" s="159">
        <f>'Mine Inventory'!AH11</f>
        <v/>
      </c>
      <c r="AY29" s="159">
        <f>'Mine Inventory'!AI11</f>
        <v/>
      </c>
      <c r="AZ29" s="159">
        <f>'Mine Inventory'!AI11</f>
        <v/>
      </c>
      <c r="BA29" s="159">
        <f>'Mine Inventory'!AI11</f>
        <v/>
      </c>
      <c r="BB29" s="159">
        <f>'Mine Inventory'!AI11</f>
        <v/>
      </c>
      <c r="BC29" s="159">
        <f>'Mine Inventory'!AI11</f>
        <v/>
      </c>
      <c r="BD29" s="159">
        <f>'Mine Inventory'!AI11</f>
        <v/>
      </c>
      <c r="BE29" s="159">
        <f>'Mine Inventory'!AI11</f>
        <v/>
      </c>
      <c r="BF29" s="159">
        <f>'Mine Inventory'!AI11</f>
        <v/>
      </c>
      <c r="BG29" s="159">
        <f>'Mine Inventory'!AI11</f>
        <v/>
      </c>
      <c r="BH29" s="159">
        <f>'Mine Inventory'!AI11</f>
        <v/>
      </c>
      <c r="BI29" s="176">
        <f>'Mine Inventory'!AI11</f>
        <v/>
      </c>
    </row>
    <row r="30">
      <c r="A30" s="38" t="inlineStr">
        <is>
          <t>Mine 11</t>
        </is>
      </c>
      <c r="B30" s="165" t="n">
        <v>0</v>
      </c>
      <c r="C30" s="165" t="n">
        <v>0</v>
      </c>
      <c r="D30" s="165" t="n">
        <v>0</v>
      </c>
      <c r="E30" s="165" t="n">
        <v>0</v>
      </c>
      <c r="F30" s="165" t="n">
        <v>0</v>
      </c>
      <c r="G30" s="165" t="n">
        <v>0</v>
      </c>
      <c r="H30" s="165" t="n">
        <v>0</v>
      </c>
      <c r="I30" s="165" t="n">
        <v>0</v>
      </c>
      <c r="J30" s="165" t="n">
        <v>0</v>
      </c>
      <c r="K30" s="165" t="n">
        <v>0</v>
      </c>
      <c r="L30" s="165" t="n">
        <v>0</v>
      </c>
      <c r="M30" s="165" t="n">
        <v>0</v>
      </c>
      <c r="N30" s="159" t="n">
        <v>0</v>
      </c>
      <c r="O30" s="159" t="n">
        <v>0</v>
      </c>
      <c r="P30" s="159" t="n">
        <v>0</v>
      </c>
      <c r="Q30" s="159" t="n">
        <v>0</v>
      </c>
      <c r="R30" s="159" t="n">
        <v>0</v>
      </c>
      <c r="S30" s="159" t="n">
        <v>0</v>
      </c>
      <c r="T30" s="159" t="n">
        <v>0</v>
      </c>
      <c r="U30" s="159" t="n">
        <v>0</v>
      </c>
      <c r="V30" s="159" t="n">
        <v>0</v>
      </c>
      <c r="W30" s="159" t="n">
        <v>0</v>
      </c>
      <c r="X30" s="159" t="n">
        <v>0</v>
      </c>
      <c r="Y30" s="159" t="n">
        <v>0</v>
      </c>
      <c r="Z30" s="159" t="n">
        <v>0</v>
      </c>
      <c r="AA30" s="159" t="n">
        <v>0</v>
      </c>
      <c r="AB30" s="159" t="n">
        <v>0</v>
      </c>
      <c r="AC30" s="159" t="n">
        <v>0</v>
      </c>
      <c r="AD30" s="159" t="n">
        <v>0</v>
      </c>
      <c r="AE30" s="159" t="n">
        <v>0</v>
      </c>
      <c r="AF30" s="159" t="n">
        <v>0</v>
      </c>
      <c r="AG30" s="159" t="n">
        <v>0</v>
      </c>
      <c r="AH30" s="159" t="n">
        <v>0</v>
      </c>
      <c r="AI30" s="159" t="n">
        <v>0</v>
      </c>
      <c r="AJ30" s="159" t="n">
        <v>0</v>
      </c>
      <c r="AK30" s="159" t="n">
        <v>0</v>
      </c>
      <c r="AL30" s="159" t="n">
        <v>0</v>
      </c>
      <c r="AM30" s="159" t="n">
        <v>0</v>
      </c>
      <c r="AN30" s="159" t="n">
        <v>0</v>
      </c>
      <c r="AO30" s="159" t="n">
        <v>0</v>
      </c>
      <c r="AP30" s="159">
        <f>'Mine Inventory'!AH12</f>
        <v/>
      </c>
      <c r="AQ30" s="159">
        <f>'Mine Inventory'!AH12</f>
        <v/>
      </c>
      <c r="AR30" s="159">
        <f>'Mine Inventory'!AH12</f>
        <v/>
      </c>
      <c r="AS30" s="159">
        <f>'Mine Inventory'!AH12</f>
        <v/>
      </c>
      <c r="AT30" s="159">
        <f>'Mine Inventory'!AH12</f>
        <v/>
      </c>
      <c r="AU30" s="159">
        <f>'Mine Inventory'!AH12</f>
        <v/>
      </c>
      <c r="AV30" s="159">
        <f>'Mine Inventory'!AH12</f>
        <v/>
      </c>
      <c r="AW30" s="159">
        <f>'Mine Inventory'!AH12</f>
        <v/>
      </c>
      <c r="AX30" s="159">
        <f>'Mine Inventory'!AH12</f>
        <v/>
      </c>
      <c r="AY30" s="159">
        <f>'Mine Inventory'!AH12</f>
        <v/>
      </c>
      <c r="AZ30" s="159">
        <f>'Mine Inventory'!AH12</f>
        <v/>
      </c>
      <c r="BA30" s="159">
        <f>'Mine Inventory'!AH12</f>
        <v/>
      </c>
      <c r="BB30" s="159">
        <f>'Mine Inventory'!AI12</f>
        <v/>
      </c>
      <c r="BC30" s="159">
        <f>'Mine Inventory'!AI12</f>
        <v/>
      </c>
      <c r="BD30" s="159">
        <f>'Mine Inventory'!AI12</f>
        <v/>
      </c>
      <c r="BE30" s="159">
        <f>'Mine Inventory'!AI12</f>
        <v/>
      </c>
      <c r="BF30" s="159">
        <f>'Mine Inventory'!AI12</f>
        <v/>
      </c>
      <c r="BG30" s="159">
        <f>'Mine Inventory'!AI12</f>
        <v/>
      </c>
      <c r="BH30" s="159">
        <f>'Mine Inventory'!AI12</f>
        <v/>
      </c>
      <c r="BI30" s="176">
        <f>'Mine Inventory'!AI12</f>
        <v/>
      </c>
    </row>
    <row r="31">
      <c r="A31" s="38" t="inlineStr">
        <is>
          <t>Mine 12</t>
        </is>
      </c>
      <c r="B31" s="165" t="n">
        <v>0</v>
      </c>
      <c r="C31" s="165" t="n">
        <v>0</v>
      </c>
      <c r="D31" s="165" t="n">
        <v>0</v>
      </c>
      <c r="E31" s="165" t="n">
        <v>0</v>
      </c>
      <c r="F31" s="165" t="n">
        <v>0</v>
      </c>
      <c r="G31" s="165" t="n">
        <v>0</v>
      </c>
      <c r="H31" s="165" t="n">
        <v>0</v>
      </c>
      <c r="I31" s="165" t="n">
        <v>0</v>
      </c>
      <c r="J31" s="165" t="n">
        <v>0</v>
      </c>
      <c r="K31" s="165" t="n">
        <v>0</v>
      </c>
      <c r="L31" s="165" t="n">
        <v>0</v>
      </c>
      <c r="M31" s="165" t="n">
        <v>0</v>
      </c>
      <c r="N31" s="159" t="n">
        <v>0</v>
      </c>
      <c r="O31" s="159" t="n">
        <v>0</v>
      </c>
      <c r="P31" s="159" t="n">
        <v>0</v>
      </c>
      <c r="Q31" s="159" t="n">
        <v>0</v>
      </c>
      <c r="R31" s="159" t="n">
        <v>0</v>
      </c>
      <c r="S31" s="159" t="n">
        <v>0</v>
      </c>
      <c r="T31" s="159" t="n">
        <v>0</v>
      </c>
      <c r="U31" s="159" t="n">
        <v>0</v>
      </c>
      <c r="V31" s="159" t="n">
        <v>0</v>
      </c>
      <c r="W31" s="159" t="n">
        <v>0</v>
      </c>
      <c r="X31" s="159" t="n">
        <v>0</v>
      </c>
      <c r="Y31" s="159" t="n">
        <v>0</v>
      </c>
      <c r="Z31" s="159" t="n">
        <v>0</v>
      </c>
      <c r="AA31" s="159" t="n">
        <v>0</v>
      </c>
      <c r="AB31" s="159" t="n">
        <v>0</v>
      </c>
      <c r="AC31" s="159" t="n">
        <v>0</v>
      </c>
      <c r="AD31" s="159" t="n">
        <v>0</v>
      </c>
      <c r="AE31" s="159" t="n">
        <v>0</v>
      </c>
      <c r="AF31" s="159" t="n">
        <v>0</v>
      </c>
      <c r="AG31" s="159" t="n">
        <v>0</v>
      </c>
      <c r="AH31" s="159" t="n">
        <v>0</v>
      </c>
      <c r="AI31" s="159" t="n">
        <v>0</v>
      </c>
      <c r="AJ31" s="159" t="n">
        <v>0</v>
      </c>
      <c r="AK31" s="159" t="n">
        <v>0</v>
      </c>
      <c r="AL31" s="159" t="n">
        <v>0</v>
      </c>
      <c r="AM31" s="159" t="n">
        <v>0</v>
      </c>
      <c r="AN31" s="159" t="n">
        <v>0</v>
      </c>
      <c r="AO31" s="159" t="n">
        <v>0</v>
      </c>
      <c r="AP31" s="159" t="n">
        <v>0</v>
      </c>
      <c r="AQ31" s="159" t="n">
        <v>0</v>
      </c>
      <c r="AR31" s="159" t="n">
        <v>0</v>
      </c>
      <c r="AS31" s="159" t="n">
        <v>0</v>
      </c>
      <c r="AT31" s="159" t="n">
        <v>0</v>
      </c>
      <c r="AU31" s="159">
        <f>'Mine Inventory'!AH13</f>
        <v/>
      </c>
      <c r="AV31" s="159">
        <f>'Mine Inventory'!AH13</f>
        <v/>
      </c>
      <c r="AW31" s="159">
        <f>'Mine Inventory'!AH13</f>
        <v/>
      </c>
      <c r="AX31" s="159">
        <f>'Mine Inventory'!AH13</f>
        <v/>
      </c>
      <c r="AY31" s="159">
        <f>'Mine Inventory'!AH13</f>
        <v/>
      </c>
      <c r="AZ31" s="159">
        <f>'Mine Inventory'!AH13</f>
        <v/>
      </c>
      <c r="BA31" s="159">
        <f>'Mine Inventory'!AH13</f>
        <v/>
      </c>
      <c r="BB31" s="159">
        <f>'Mine Inventory'!AH13</f>
        <v/>
      </c>
      <c r="BC31" s="159">
        <f>'Mine Inventory'!AH13</f>
        <v/>
      </c>
      <c r="BD31" s="159">
        <f>'Mine Inventory'!AH13</f>
        <v/>
      </c>
      <c r="BE31" s="159">
        <f>'Mine Inventory'!AH13</f>
        <v/>
      </c>
      <c r="BF31" s="159">
        <f>'Mine Inventory'!AH13</f>
        <v/>
      </c>
      <c r="BG31" s="159">
        <f>'Mine Inventory'!AI13</f>
        <v/>
      </c>
      <c r="BH31" s="159">
        <f>'Mine Inventory'!AI13</f>
        <v/>
      </c>
      <c r="BI31" s="176">
        <f>'Mine Inventory'!AI13</f>
        <v/>
      </c>
    </row>
    <row r="32">
      <c r="A32" s="45" t="inlineStr">
        <is>
          <t>Monthly Change</t>
        </is>
      </c>
      <c r="B32" s="137" t="n">
        <v>0</v>
      </c>
      <c r="C32" s="137" t="n">
        <v>0</v>
      </c>
      <c r="D32" s="137" t="n">
        <v>0</v>
      </c>
      <c r="E32" s="137" t="n">
        <v>0</v>
      </c>
      <c r="F32" s="137" t="n">
        <v>0</v>
      </c>
      <c r="G32" s="167">
        <f>SUM(G17:G31)</f>
        <v/>
      </c>
      <c r="H32" s="167">
        <f>SUM(H17:H31)</f>
        <v/>
      </c>
      <c r="I32" s="167">
        <f>SUM(I17:I31)</f>
        <v/>
      </c>
      <c r="J32" s="167">
        <f>SUM(J17:J31)</f>
        <v/>
      </c>
      <c r="K32" s="167">
        <f>SUM(K17:K31)</f>
        <v/>
      </c>
      <c r="L32" s="167">
        <f>SUM(L17:L31)</f>
        <v/>
      </c>
      <c r="M32" s="167">
        <f>SUM(M17:M31)</f>
        <v/>
      </c>
      <c r="N32" s="168">
        <f>SUM(N17:N31)</f>
        <v/>
      </c>
      <c r="O32" s="168">
        <f>SUM(O17:O31)</f>
        <v/>
      </c>
      <c r="P32" s="168">
        <f>SUM(P17:P31)</f>
        <v/>
      </c>
      <c r="Q32" s="168">
        <f>SUM(Q17:Q31)</f>
        <v/>
      </c>
      <c r="R32" s="168">
        <f>SUM(R17:R31)</f>
        <v/>
      </c>
      <c r="S32" s="168">
        <f>SUM(S17:S31)</f>
        <v/>
      </c>
      <c r="T32" s="168">
        <f>SUM(T17:T31)</f>
        <v/>
      </c>
      <c r="U32" s="168">
        <f>SUM(U17:U31)</f>
        <v/>
      </c>
      <c r="V32" s="168">
        <f>SUM(V17:V31)</f>
        <v/>
      </c>
      <c r="W32" s="168">
        <f>SUM(W17:W31)</f>
        <v/>
      </c>
      <c r="X32" s="168">
        <f>SUM(X17:X31)</f>
        <v/>
      </c>
      <c r="Y32" s="168">
        <f>SUM(Y17:Y31)</f>
        <v/>
      </c>
      <c r="Z32" s="168">
        <f>SUM(Z17:Z31)</f>
        <v/>
      </c>
      <c r="AA32" s="168">
        <f>SUM(AA17:AA31)</f>
        <v/>
      </c>
      <c r="AB32" s="168">
        <f>SUM(AB17:AB31)</f>
        <v/>
      </c>
      <c r="AC32" s="168">
        <f>SUM(AC17:AC31)</f>
        <v/>
      </c>
      <c r="AD32" s="168">
        <f>SUM(AD17:AD31)</f>
        <v/>
      </c>
      <c r="AE32" s="168">
        <f>SUM(AE17:AE31)</f>
        <v/>
      </c>
      <c r="AF32" s="168">
        <f>SUM(AF17:AF31)</f>
        <v/>
      </c>
      <c r="AG32" s="168">
        <f>SUM(AG17:AG31)</f>
        <v/>
      </c>
      <c r="AH32" s="168">
        <f>SUM(AH17:AH31)</f>
        <v/>
      </c>
      <c r="AI32" s="168">
        <f>SUM(AI17:AI31)</f>
        <v/>
      </c>
      <c r="AJ32" s="168">
        <f>SUM(AJ17:AJ31)</f>
        <v/>
      </c>
      <c r="AK32" s="168">
        <f>SUM(AK17:AK31)</f>
        <v/>
      </c>
      <c r="AL32" s="168">
        <f>SUM(AL17:AL31)</f>
        <v/>
      </c>
      <c r="AM32" s="168">
        <f>SUM(AM17:AM31)</f>
        <v/>
      </c>
      <c r="AN32" s="168">
        <f>SUM(AN17:AN31)</f>
        <v/>
      </c>
      <c r="AO32" s="168">
        <f>SUM(AO17:AO31)</f>
        <v/>
      </c>
      <c r="AP32" s="168">
        <f>SUM(AP17:AP31)</f>
        <v/>
      </c>
      <c r="AQ32" s="168">
        <f>SUM(AQ17:AQ31)</f>
        <v/>
      </c>
      <c r="AR32" s="168">
        <f>SUM(AR17:AR31)</f>
        <v/>
      </c>
      <c r="AS32" s="168">
        <f>SUM(AS17:AS31)</f>
        <v/>
      </c>
      <c r="AT32" s="168">
        <f>SUM(AT17:AT31)</f>
        <v/>
      </c>
      <c r="AU32" s="168">
        <f>SUM(AU17:AU31)</f>
        <v/>
      </c>
      <c r="AV32" s="168">
        <f>SUM(AV17:AV31)</f>
        <v/>
      </c>
      <c r="AW32" s="168">
        <f>SUM(AW17:AW31)</f>
        <v/>
      </c>
      <c r="AX32" s="168">
        <f>SUM(AX17:AX31)</f>
        <v/>
      </c>
      <c r="AY32" s="168">
        <f>SUM(AY17:AY31)</f>
        <v/>
      </c>
      <c r="AZ32" s="168">
        <f>SUM(AZ17:AZ31)</f>
        <v/>
      </c>
      <c r="BA32" s="168">
        <f>SUM(BA17:BA31)</f>
        <v/>
      </c>
      <c r="BB32" s="168">
        <f>SUM(BB17:BB31)</f>
        <v/>
      </c>
      <c r="BC32" s="168">
        <f>SUM(BC17:BC31)</f>
        <v/>
      </c>
      <c r="BD32" s="168">
        <f>SUM(BD17:BD31)</f>
        <v/>
      </c>
      <c r="BE32" s="168">
        <f>SUM(BE17:BE31)</f>
        <v/>
      </c>
      <c r="BF32" s="168">
        <f>SUM(BF17:BF31)</f>
        <v/>
      </c>
      <c r="BG32" s="168">
        <f>SUM(BG17:BG31)</f>
        <v/>
      </c>
      <c r="BH32" s="168">
        <f>SUM(BH17:BH31)</f>
        <v/>
      </c>
      <c r="BI32" s="169">
        <f>SUM(BI17:BI31)</f>
        <v/>
      </c>
    </row>
    <row r="33">
      <c r="A33" s="128" t="n"/>
      <c r="B33" s="128" t="n"/>
      <c r="C33" s="128" t="n"/>
      <c r="D33" s="128" t="n"/>
      <c r="E33" s="128" t="n"/>
      <c r="F33" s="128" t="n"/>
      <c r="G33" s="170" t="n"/>
      <c r="H33" s="170" t="n"/>
      <c r="I33" s="170" t="n"/>
      <c r="J33" s="170" t="n"/>
      <c r="K33" s="170" t="n"/>
      <c r="L33" s="170" t="n"/>
      <c r="M33" s="170" t="n"/>
      <c r="N33" s="170" t="n"/>
      <c r="O33" s="170" t="n"/>
      <c r="P33" s="170" t="n"/>
      <c r="Q33" s="170" t="n"/>
      <c r="R33" s="170" t="n"/>
      <c r="S33" s="170" t="n"/>
      <c r="T33" s="170" t="n"/>
      <c r="U33" s="170" t="n"/>
      <c r="V33" s="170" t="n"/>
      <c r="W33" s="170" t="n"/>
      <c r="X33" s="170" t="n"/>
      <c r="Y33" s="170" t="n"/>
      <c r="Z33" s="170" t="n"/>
      <c r="AA33" s="170" t="n"/>
      <c r="AB33" s="170" t="n"/>
      <c r="AC33" s="170" t="n"/>
      <c r="AD33" s="170" t="n"/>
      <c r="AE33" s="170" t="n"/>
      <c r="AF33" s="170" t="n"/>
      <c r="AG33" s="170" t="n"/>
      <c r="AH33" s="170" t="n"/>
      <c r="AI33" s="170" t="n"/>
      <c r="AJ33" s="170" t="n"/>
      <c r="AK33" s="170" t="n"/>
      <c r="AL33" s="170" t="n"/>
      <c r="AM33" s="170" t="n"/>
      <c r="AN33" s="170" t="n"/>
      <c r="AO33" s="170" t="n"/>
      <c r="AP33" s="170" t="n"/>
      <c r="AQ33" s="170" t="n"/>
      <c r="AR33" s="170" t="n"/>
      <c r="AS33" s="170" t="n"/>
      <c r="AT33" s="170" t="n"/>
      <c r="AU33" s="170" t="n"/>
      <c r="AV33" s="170" t="n"/>
      <c r="AW33" s="170" t="n"/>
      <c r="AX33" s="170" t="n"/>
      <c r="AY33" s="170" t="n"/>
      <c r="AZ33" s="170" t="n"/>
      <c r="BA33" s="170" t="n"/>
      <c r="BB33" s="170" t="n"/>
      <c r="BC33" s="170" t="n"/>
      <c r="BD33" s="170" t="n"/>
      <c r="BE33" s="170" t="n"/>
      <c r="BF33" s="170" t="n"/>
      <c r="BG33" s="170" t="n"/>
      <c r="BH33" s="170" t="n"/>
      <c r="BI33" s="170" t="n"/>
    </row>
    <row r="34">
      <c r="A34" s="36" t="inlineStr">
        <is>
          <t>Supply Summary</t>
        </is>
      </c>
      <c r="B34" s="94" t="n"/>
      <c r="C34" s="94" t="n"/>
      <c r="D34" s="94" t="n"/>
      <c r="E34" s="94" t="n"/>
      <c r="F34" s="94"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c r="BF34" s="83" t="n"/>
      <c r="BG34" s="83" t="n"/>
      <c r="BH34" s="83" t="n"/>
      <c r="BI34" s="175" t="n"/>
    </row>
    <row r="35">
      <c r="A35" s="38" t="inlineStr">
        <is>
          <t>Cumulative Unlocked Supply (oz)</t>
        </is>
      </c>
      <c r="B35" s="165" t="n">
        <v>0</v>
      </c>
      <c r="C35" s="165" t="n">
        <v>0</v>
      </c>
      <c r="D35" s="165" t="n">
        <v>0</v>
      </c>
      <c r="E35" s="165" t="n">
        <v>0</v>
      </c>
      <c r="F35" s="165" t="n">
        <v>0</v>
      </c>
      <c r="G35" s="100">
        <f>G16</f>
        <v/>
      </c>
      <c r="H35" s="100">
        <f>sum(B16:H16)</f>
        <v/>
      </c>
      <c r="I35" s="100">
        <f>sum(B16:I16)</f>
        <v/>
      </c>
      <c r="J35" s="100">
        <f>sum(B16:J16)</f>
        <v/>
      </c>
      <c r="K35" s="100">
        <f>sum(B16:K16)</f>
        <v/>
      </c>
      <c r="L35" s="100">
        <f>sum(B16:L16)</f>
        <v/>
      </c>
      <c r="M35" s="100">
        <f>sum(B16:M16)</f>
        <v/>
      </c>
      <c r="N35" s="87">
        <f>sum(B16:N16)</f>
        <v/>
      </c>
      <c r="O35" s="87">
        <f>sum(B16:O16)</f>
        <v/>
      </c>
      <c r="P35" s="87">
        <f>sum(B16:P16)</f>
        <v/>
      </c>
      <c r="Q35" s="87">
        <f>sum(B16:Q16)</f>
        <v/>
      </c>
      <c r="R35" s="87">
        <f>sum(B16:R16)</f>
        <v/>
      </c>
      <c r="S35" s="87">
        <f>sum(B16:S16)</f>
        <v/>
      </c>
      <c r="T35" s="87">
        <f>sum(B16:T16)</f>
        <v/>
      </c>
      <c r="U35" s="87">
        <f>sum(B16:U16)</f>
        <v/>
      </c>
      <c r="V35" s="87">
        <f>sum(B16:V16)</f>
        <v/>
      </c>
      <c r="W35" s="87">
        <f>sum(B16:W16)</f>
        <v/>
      </c>
      <c r="X35" s="87">
        <f>sum(B16:X16)</f>
        <v/>
      </c>
      <c r="Y35" s="87">
        <f>sum(B16:Y16)</f>
        <v/>
      </c>
      <c r="Z35" s="87">
        <f>sum(B16:Z16)</f>
        <v/>
      </c>
      <c r="AA35" s="87">
        <f>sum(B16:AA16)</f>
        <v/>
      </c>
      <c r="AB35" s="87">
        <f>sum(B16:AB16)</f>
        <v/>
      </c>
      <c r="AC35" s="87">
        <f>sum(B16:AC16)</f>
        <v/>
      </c>
      <c r="AD35" s="87">
        <f>sum(B16:AD16)</f>
        <v/>
      </c>
      <c r="AE35" s="87">
        <f>sum(B16:AE16)</f>
        <v/>
      </c>
      <c r="AF35" s="87">
        <f>sum(B16:AF16)</f>
        <v/>
      </c>
      <c r="AG35" s="87">
        <f>sum(B16:AG16)</f>
        <v/>
      </c>
      <c r="AH35" s="87">
        <f>sum(B16:AH16)</f>
        <v/>
      </c>
      <c r="AI35" s="87">
        <f>sum(B16:AI16)</f>
        <v/>
      </c>
      <c r="AJ35" s="87">
        <f>sum(B16:AJ16)</f>
        <v/>
      </c>
      <c r="AK35" s="87">
        <f>sum(B16:AK16)</f>
        <v/>
      </c>
      <c r="AL35" s="87">
        <f>sum(B16:AL16)</f>
        <v/>
      </c>
      <c r="AM35" s="87">
        <f>sum(B16:AM16)</f>
        <v/>
      </c>
      <c r="AN35" s="87">
        <f>sum(B16:AN16)</f>
        <v/>
      </c>
      <c r="AO35" s="87">
        <f>sum(B16:AO16)</f>
        <v/>
      </c>
      <c r="AP35" s="87">
        <f>sum(B16:AP16)</f>
        <v/>
      </c>
      <c r="AQ35" s="87">
        <f>sum(B16:AQ16)</f>
        <v/>
      </c>
      <c r="AR35" s="87">
        <f>sum(B16:AR16)</f>
        <v/>
      </c>
      <c r="AS35" s="87">
        <f>sum(B16:AS16)</f>
        <v/>
      </c>
      <c r="AT35" s="87">
        <f>sum(B16:AT16)</f>
        <v/>
      </c>
      <c r="AU35" s="87">
        <f>sum(B16:AU16)</f>
        <v/>
      </c>
      <c r="AV35" s="87">
        <f>sum(B16:AV16)</f>
        <v/>
      </c>
      <c r="AW35" s="87">
        <f>sum(B16:AW16)</f>
        <v/>
      </c>
      <c r="AX35" s="87">
        <f>sum(B16:AX16)</f>
        <v/>
      </c>
      <c r="AY35" s="87">
        <f>sum(B16:AY16)</f>
        <v/>
      </c>
      <c r="AZ35" s="87">
        <f>sum(B16:AZ16)</f>
        <v/>
      </c>
      <c r="BA35" s="87">
        <f>sum(B16:BA16)</f>
        <v/>
      </c>
      <c r="BB35" s="87">
        <f>sum(B16:BB16)</f>
        <v/>
      </c>
      <c r="BC35" s="87">
        <f>sum(B16:BC16)</f>
        <v/>
      </c>
      <c r="BD35" s="87">
        <f>sum(B16:BD16)</f>
        <v/>
      </c>
      <c r="BE35" s="87">
        <f>sum(B16:BE16)</f>
        <v/>
      </c>
      <c r="BF35" s="87">
        <f>sum(B16:BF16)</f>
        <v/>
      </c>
      <c r="BG35" s="87">
        <f>sum(B16:BG16)</f>
        <v/>
      </c>
      <c r="BH35" s="87">
        <f>sum(B16:BH16)</f>
        <v/>
      </c>
      <c r="BI35" s="161">
        <f>sum(B16:BI16)</f>
        <v/>
      </c>
    </row>
    <row r="36">
      <c r="A36" s="38" t="inlineStr">
        <is>
          <t>Cumulative Circulating Supply (oz)</t>
        </is>
      </c>
      <c r="B36" s="165" t="n">
        <v>0</v>
      </c>
      <c r="C36" s="165" t="n">
        <v>0</v>
      </c>
      <c r="D36" s="165" t="n">
        <v>0</v>
      </c>
      <c r="E36" s="165" t="n">
        <v>0</v>
      </c>
      <c r="F36" s="165" t="n">
        <v>0</v>
      </c>
      <c r="G36" s="100">
        <f>sum(B32:G32)</f>
        <v/>
      </c>
      <c r="H36" s="100">
        <f>sum(B32:H32)</f>
        <v/>
      </c>
      <c r="I36" s="100">
        <f>sum(B32:I32)</f>
        <v/>
      </c>
      <c r="J36" s="100">
        <f>sum(B32:J32)</f>
        <v/>
      </c>
      <c r="K36" s="100">
        <f>sum(B32:K32)</f>
        <v/>
      </c>
      <c r="L36" s="100">
        <f>sum(B32:L32)</f>
        <v/>
      </c>
      <c r="M36" s="100">
        <f>sum(B32:M32)</f>
        <v/>
      </c>
      <c r="N36" s="87">
        <f>sum(B32:N32)</f>
        <v/>
      </c>
      <c r="O36" s="87">
        <f>sum(B32:O32)</f>
        <v/>
      </c>
      <c r="P36" s="87">
        <f>sum(B32:P32)</f>
        <v/>
      </c>
      <c r="Q36" s="87">
        <f>sum(B32:Q32)</f>
        <v/>
      </c>
      <c r="R36" s="87">
        <f>sum(B32:R32)</f>
        <v/>
      </c>
      <c r="S36" s="87">
        <f>sum(B32:S32)</f>
        <v/>
      </c>
      <c r="T36" s="87">
        <f>sum(B32:T32)</f>
        <v/>
      </c>
      <c r="U36" s="87">
        <f>sum(B32:U32)</f>
        <v/>
      </c>
      <c r="V36" s="87">
        <f>sum(B32:V32)</f>
        <v/>
      </c>
      <c r="W36" s="87">
        <f>sum(B32:W32)</f>
        <v/>
      </c>
      <c r="X36" s="87">
        <f>sum(B32:X32)</f>
        <v/>
      </c>
      <c r="Y36" s="87">
        <f>sum(B32:Y32)</f>
        <v/>
      </c>
      <c r="Z36" s="87">
        <f>sum(B32:Z32)</f>
        <v/>
      </c>
      <c r="AA36" s="87">
        <f>sum(B32:AA32)</f>
        <v/>
      </c>
      <c r="AB36" s="87">
        <f>sum(B32:AB32)</f>
        <v/>
      </c>
      <c r="AC36" s="87">
        <f>sum(B32:AC32)</f>
        <v/>
      </c>
      <c r="AD36" s="87">
        <f>sum(B32:AD32)</f>
        <v/>
      </c>
      <c r="AE36" s="87">
        <f>sum(B32:AE32)</f>
        <v/>
      </c>
      <c r="AF36" s="87">
        <f>sum(B32:AF32)</f>
        <v/>
      </c>
      <c r="AG36" s="87">
        <f>sum(B32:AG32)</f>
        <v/>
      </c>
      <c r="AH36" s="87">
        <f>sum(B32:AH32)</f>
        <v/>
      </c>
      <c r="AI36" s="87">
        <f>sum(B32:AI32)</f>
        <v/>
      </c>
      <c r="AJ36" s="87">
        <f>sum(B32:AJ32)</f>
        <v/>
      </c>
      <c r="AK36" s="87">
        <f>sum(B32:AK32)</f>
        <v/>
      </c>
      <c r="AL36" s="87">
        <f>sum(B32:AL32)</f>
        <v/>
      </c>
      <c r="AM36" s="87">
        <f>sum(B32:AM32)</f>
        <v/>
      </c>
      <c r="AN36" s="87">
        <f>sum(B32:AN32)</f>
        <v/>
      </c>
      <c r="AO36" s="87">
        <f>sum(B32:AO32)</f>
        <v/>
      </c>
      <c r="AP36" s="87">
        <f>sum(B32:AP32)</f>
        <v/>
      </c>
      <c r="AQ36" s="87">
        <f>sum(B32:AQ32)</f>
        <v/>
      </c>
      <c r="AR36" s="87">
        <f>sum(B32:AR32)</f>
        <v/>
      </c>
      <c r="AS36" s="87">
        <f>sum(B32:AS32)</f>
        <v/>
      </c>
      <c r="AT36" s="87">
        <f>sum(B32:AT32)</f>
        <v/>
      </c>
      <c r="AU36" s="87">
        <f>sum(B32:AU32)</f>
        <v/>
      </c>
      <c r="AV36" s="87">
        <f>sum(B32:AV32)</f>
        <v/>
      </c>
      <c r="AW36" s="87">
        <f>sum(B32:AW32)</f>
        <v/>
      </c>
      <c r="AX36" s="87">
        <f>sum(B32:AX32)</f>
        <v/>
      </c>
      <c r="AY36" s="87">
        <f>sum(B32:AY32)</f>
        <v/>
      </c>
      <c r="AZ36" s="87">
        <f>sum(B32:AZ32)</f>
        <v/>
      </c>
      <c r="BA36" s="87">
        <f>sum(B32:BA32)</f>
        <v/>
      </c>
      <c r="BB36" s="87">
        <f>sum(B32:BB32)</f>
        <v/>
      </c>
      <c r="BC36" s="87">
        <f>sum(B32:BC32)</f>
        <v/>
      </c>
      <c r="BD36" s="87">
        <f>sum(B32:BD32)</f>
        <v/>
      </c>
      <c r="BE36" s="87">
        <f>sum(B32:BE32)</f>
        <v/>
      </c>
      <c r="BF36" s="87">
        <f>sum(B32:BF32)</f>
        <v/>
      </c>
      <c r="BG36" s="87">
        <f>sum(B32:BG32)</f>
        <v/>
      </c>
      <c r="BH36" s="87">
        <f>sum(B32:BH32)</f>
        <v/>
      </c>
      <c r="BI36" s="161">
        <f>sum(B32:BI32)</f>
        <v/>
      </c>
    </row>
    <row r="37">
      <c r="A37" s="38" t="inlineStr">
        <is>
          <t>Cumulative Unlocked Supply ($)</t>
        </is>
      </c>
      <c r="B37" s="133">
        <f>B35*XAUconfig!B3</f>
        <v/>
      </c>
      <c r="C37" s="133">
        <f>C35*XAUconfig!C3</f>
        <v/>
      </c>
      <c r="D37" s="133">
        <f>D35*XAUconfig!D3</f>
        <v/>
      </c>
      <c r="E37" s="133">
        <f>E35*XAUconfig!E3</f>
        <v/>
      </c>
      <c r="F37" s="133">
        <f>F35*XAUconfig!F3</f>
        <v/>
      </c>
      <c r="G37" s="133">
        <f>G35*XAUconfig!G3</f>
        <v/>
      </c>
      <c r="H37" s="133">
        <f>H35*XAUconfig!H3</f>
        <v/>
      </c>
      <c r="I37" s="133">
        <f>I35*XAUconfig!I3</f>
        <v/>
      </c>
      <c r="J37" s="133">
        <f>J35*XAUconfig!J3</f>
        <v/>
      </c>
      <c r="K37" s="133">
        <f>K35*XAUconfig!K3</f>
        <v/>
      </c>
      <c r="L37" s="133">
        <f>L35*XAUconfig!L3</f>
        <v/>
      </c>
      <c r="M37" s="133">
        <f>M35*XAUconfig!M3</f>
        <v/>
      </c>
      <c r="N37" s="133">
        <f>N35*XAUconfig!N3</f>
        <v/>
      </c>
      <c r="O37" s="133">
        <f>O35*XAUconfig!O3</f>
        <v/>
      </c>
      <c r="P37" s="133">
        <f>P35*XAUconfig!P3</f>
        <v/>
      </c>
      <c r="Q37" s="133">
        <f>Q35*XAUconfig!Q3</f>
        <v/>
      </c>
      <c r="R37" s="133">
        <f>R35*XAUconfig!R3</f>
        <v/>
      </c>
      <c r="S37" s="133">
        <f>S35*XAUconfig!S3</f>
        <v/>
      </c>
      <c r="T37" s="133">
        <f>T35*XAUconfig!T3</f>
        <v/>
      </c>
      <c r="U37" s="133">
        <f>U35*XAUconfig!U3</f>
        <v/>
      </c>
      <c r="V37" s="133">
        <f>V35*XAUconfig!V3</f>
        <v/>
      </c>
      <c r="W37" s="133">
        <f>W35*XAUconfig!W3</f>
        <v/>
      </c>
      <c r="X37" s="133">
        <f>X35*XAUconfig!X3</f>
        <v/>
      </c>
      <c r="Y37" s="133">
        <f>Y35*XAUconfig!Y3</f>
        <v/>
      </c>
      <c r="Z37" s="133">
        <f>Z35*XAUconfig!Z3</f>
        <v/>
      </c>
      <c r="AA37" s="133">
        <f>AA35*XAUconfig!AA3</f>
        <v/>
      </c>
      <c r="AB37" s="133">
        <f>AB35*XAUconfig!AB3</f>
        <v/>
      </c>
      <c r="AC37" s="133">
        <f>AC35*XAUconfig!AC3</f>
        <v/>
      </c>
      <c r="AD37" s="133">
        <f>AD35*XAUconfig!AD3</f>
        <v/>
      </c>
      <c r="AE37" s="133">
        <f>AE35*XAUconfig!AE3</f>
        <v/>
      </c>
      <c r="AF37" s="133">
        <f>AF35*XAUconfig!AF3</f>
        <v/>
      </c>
      <c r="AG37" s="133">
        <f>AG35*XAUconfig!AG3</f>
        <v/>
      </c>
      <c r="AH37" s="133">
        <f>AH35*XAUconfig!AH3</f>
        <v/>
      </c>
      <c r="AI37" s="133">
        <f>AI35*XAUconfig!AI3</f>
        <v/>
      </c>
      <c r="AJ37" s="133">
        <f>AJ35*XAUconfig!AJ3</f>
        <v/>
      </c>
      <c r="AK37" s="133">
        <f>AK35*XAUconfig!AK3</f>
        <v/>
      </c>
      <c r="AL37" s="133">
        <f>AL35*XAUconfig!AL3</f>
        <v/>
      </c>
      <c r="AM37" s="133">
        <f>AM35*XAUconfig!AM3</f>
        <v/>
      </c>
      <c r="AN37" s="133">
        <f>AN35*XAUconfig!AN3</f>
        <v/>
      </c>
      <c r="AO37" s="133">
        <f>AO35*XAUconfig!AO3</f>
        <v/>
      </c>
      <c r="AP37" s="133">
        <f>AP35*XAUconfig!AP3</f>
        <v/>
      </c>
      <c r="AQ37" s="133">
        <f>AQ35*XAUconfig!AQ3</f>
        <v/>
      </c>
      <c r="AR37" s="133">
        <f>AR35*XAUconfig!AR3</f>
        <v/>
      </c>
      <c r="AS37" s="133">
        <f>AS35*XAUconfig!AS3</f>
        <v/>
      </c>
      <c r="AT37" s="133">
        <f>AT35*XAUconfig!AT3</f>
        <v/>
      </c>
      <c r="AU37" s="133">
        <f>AU35*XAUconfig!AU3</f>
        <v/>
      </c>
      <c r="AV37" s="133">
        <f>AV35*XAUconfig!AV3</f>
        <v/>
      </c>
      <c r="AW37" s="133">
        <f>AW35*XAUconfig!AW3</f>
        <v/>
      </c>
      <c r="AX37" s="133">
        <f>AX35*XAUconfig!AX3</f>
        <v/>
      </c>
      <c r="AY37" s="133">
        <f>AY35*XAUconfig!AY3</f>
        <v/>
      </c>
      <c r="AZ37" s="133">
        <f>AZ35*XAUconfig!AZ3</f>
        <v/>
      </c>
      <c r="BA37" s="133">
        <f>BA35*XAUconfig!BA3</f>
        <v/>
      </c>
      <c r="BB37" s="133">
        <f>BB35*XAUconfig!BB3</f>
        <v/>
      </c>
      <c r="BC37" s="133">
        <f>BC35*XAUconfig!BC3</f>
        <v/>
      </c>
      <c r="BD37" s="133">
        <f>BD35*XAUconfig!BD3</f>
        <v/>
      </c>
      <c r="BE37" s="133">
        <f>BE35*XAUconfig!BE3</f>
        <v/>
      </c>
      <c r="BF37" s="133">
        <f>BF35*XAUconfig!BF3</f>
        <v/>
      </c>
      <c r="BG37" s="133">
        <f>BG35*XAUconfig!BG3</f>
        <v/>
      </c>
      <c r="BH37" s="133">
        <f>BH35*XAUconfig!BH3</f>
        <v/>
      </c>
      <c r="BI37" s="135">
        <f>BI35*XAUconfig!BI3</f>
        <v/>
      </c>
    </row>
    <row r="38">
      <c r="A38" s="38" t="inlineStr">
        <is>
          <t>Cumulative Circulating Supply ($)</t>
        </is>
      </c>
      <c r="B38" s="133">
        <f>B36*XAUconfig!B3</f>
        <v/>
      </c>
      <c r="C38" s="133">
        <f>C36*XAUconfig!C3</f>
        <v/>
      </c>
      <c r="D38" s="133">
        <f>D36*XAUconfig!D3</f>
        <v/>
      </c>
      <c r="E38" s="133">
        <f>E36*XAUconfig!E3</f>
        <v/>
      </c>
      <c r="F38" s="133">
        <f>F36*XAUconfig!F3</f>
        <v/>
      </c>
      <c r="G38" s="133">
        <f>G36*XAUconfig!G3</f>
        <v/>
      </c>
      <c r="H38" s="133">
        <f>H36*XAUconfig!H3</f>
        <v/>
      </c>
      <c r="I38" s="133">
        <f>I36*XAUconfig!I3</f>
        <v/>
      </c>
      <c r="J38" s="133">
        <f>J36*XAUconfig!J3</f>
        <v/>
      </c>
      <c r="K38" s="133">
        <f>K36*XAUconfig!K3</f>
        <v/>
      </c>
      <c r="L38" s="133">
        <f>L36*XAUconfig!L3</f>
        <v/>
      </c>
      <c r="M38" s="133">
        <f>M36*XAUconfig!M3</f>
        <v/>
      </c>
      <c r="N38" s="133">
        <f>N36*XAUconfig!N3</f>
        <v/>
      </c>
      <c r="O38" s="133">
        <f>O36*XAUconfig!O3</f>
        <v/>
      </c>
      <c r="P38" s="133">
        <f>P36*XAUconfig!P3</f>
        <v/>
      </c>
      <c r="Q38" s="133">
        <f>Q36*XAUconfig!Q3</f>
        <v/>
      </c>
      <c r="R38" s="133">
        <f>R36*XAUconfig!R3</f>
        <v/>
      </c>
      <c r="S38" s="133">
        <f>S36*XAUconfig!S3</f>
        <v/>
      </c>
      <c r="T38" s="133">
        <f>T36*XAUconfig!T3</f>
        <v/>
      </c>
      <c r="U38" s="133">
        <f>U36*XAUconfig!U3</f>
        <v/>
      </c>
      <c r="V38" s="133">
        <f>V36*XAUconfig!V3</f>
        <v/>
      </c>
      <c r="W38" s="133">
        <f>W36*XAUconfig!W3</f>
        <v/>
      </c>
      <c r="X38" s="133">
        <f>X36*XAUconfig!X3</f>
        <v/>
      </c>
      <c r="Y38" s="133">
        <f>Y36*XAUconfig!Y3</f>
        <v/>
      </c>
      <c r="Z38" s="133">
        <f>Z36*XAUconfig!Z3</f>
        <v/>
      </c>
      <c r="AA38" s="133">
        <f>AA36*XAUconfig!AA3</f>
        <v/>
      </c>
      <c r="AB38" s="133">
        <f>AB36*XAUconfig!AB3</f>
        <v/>
      </c>
      <c r="AC38" s="133">
        <f>AC36*XAUconfig!AC3</f>
        <v/>
      </c>
      <c r="AD38" s="133">
        <f>AD36*XAUconfig!AD3</f>
        <v/>
      </c>
      <c r="AE38" s="133">
        <f>AE36*XAUconfig!AE3</f>
        <v/>
      </c>
      <c r="AF38" s="133">
        <f>AF36*XAUconfig!AF3</f>
        <v/>
      </c>
      <c r="AG38" s="133">
        <f>AG36*XAUconfig!AG3</f>
        <v/>
      </c>
      <c r="AH38" s="133">
        <f>AH36*XAUconfig!AH3</f>
        <v/>
      </c>
      <c r="AI38" s="133">
        <f>AI36*XAUconfig!AI3</f>
        <v/>
      </c>
      <c r="AJ38" s="133">
        <f>AJ36*XAUconfig!AJ3</f>
        <v/>
      </c>
      <c r="AK38" s="133">
        <f>AK36*XAUconfig!AK3</f>
        <v/>
      </c>
      <c r="AL38" s="133">
        <f>AL36*XAUconfig!AL3</f>
        <v/>
      </c>
      <c r="AM38" s="133">
        <f>AM36*XAUconfig!AM3</f>
        <v/>
      </c>
      <c r="AN38" s="133">
        <f>AN36*XAUconfig!AN3</f>
        <v/>
      </c>
      <c r="AO38" s="133">
        <f>AO36*XAUconfig!AO3</f>
        <v/>
      </c>
      <c r="AP38" s="133">
        <f>AP36*XAUconfig!AP3</f>
        <v/>
      </c>
      <c r="AQ38" s="133">
        <f>AQ36*XAUconfig!AQ3</f>
        <v/>
      </c>
      <c r="AR38" s="133">
        <f>AR36*XAUconfig!AR3</f>
        <v/>
      </c>
      <c r="AS38" s="133">
        <f>AS36*XAUconfig!AS3</f>
        <v/>
      </c>
      <c r="AT38" s="133">
        <f>AT36*XAUconfig!AT3</f>
        <v/>
      </c>
      <c r="AU38" s="133">
        <f>AU36*XAUconfig!AU3</f>
        <v/>
      </c>
      <c r="AV38" s="133">
        <f>AV36*XAUconfig!AV3</f>
        <v/>
      </c>
      <c r="AW38" s="133">
        <f>AW36*XAUconfig!AW3</f>
        <v/>
      </c>
      <c r="AX38" s="133">
        <f>AX36*XAUconfig!AX3</f>
        <v/>
      </c>
      <c r="AY38" s="133">
        <f>AY36*XAUconfig!AY3</f>
        <v/>
      </c>
      <c r="AZ38" s="133">
        <f>AZ36*XAUconfig!AZ3</f>
        <v/>
      </c>
      <c r="BA38" s="133">
        <f>BA36*XAUconfig!BA3</f>
        <v/>
      </c>
      <c r="BB38" s="133">
        <f>BB36*XAUconfig!BB3</f>
        <v/>
      </c>
      <c r="BC38" s="133">
        <f>BC36*XAUconfig!BC3</f>
        <v/>
      </c>
      <c r="BD38" s="133">
        <f>BD36*XAUconfig!BD3</f>
        <v/>
      </c>
      <c r="BE38" s="133">
        <f>BE36*XAUconfig!BE3</f>
        <v/>
      </c>
      <c r="BF38" s="133">
        <f>BF36*XAUconfig!BF3</f>
        <v/>
      </c>
      <c r="BG38" s="133">
        <f>BG36*XAUconfig!BG3</f>
        <v/>
      </c>
      <c r="BH38" s="133">
        <f>BH36*XAUconfig!BH3</f>
        <v/>
      </c>
      <c r="BI38" s="135">
        <f>BI36*XAUconfig!BI3</f>
        <v/>
      </c>
    </row>
    <row r="39">
      <c r="A39" s="45" t="inlineStr">
        <is>
          <t>Circulating Supply / Market Cap</t>
        </is>
      </c>
      <c r="B39" s="172" t="inlineStr">
        <is>
          <t>N/A</t>
        </is>
      </c>
      <c r="C39" s="172" t="inlineStr">
        <is>
          <t>N/A</t>
        </is>
      </c>
      <c r="D39" s="172" t="inlineStr">
        <is>
          <t>N/A</t>
        </is>
      </c>
      <c r="E39" s="172" t="inlineStr">
        <is>
          <t>N/A</t>
        </is>
      </c>
      <c r="F39" s="172" t="inlineStr">
        <is>
          <t>N/A</t>
        </is>
      </c>
      <c r="G39" s="172" t="inlineStr">
        <is>
          <t>N/A</t>
        </is>
      </c>
      <c r="H39" s="172" t="inlineStr">
        <is>
          <t>N/A</t>
        </is>
      </c>
      <c r="I39" s="172" t="inlineStr">
        <is>
          <t>N/A</t>
        </is>
      </c>
      <c r="J39" s="172" t="inlineStr">
        <is>
          <t>N/A</t>
        </is>
      </c>
      <c r="K39" s="172" t="inlineStr">
        <is>
          <t>N/A</t>
        </is>
      </c>
      <c r="L39" s="172" t="inlineStr">
        <is>
          <t>N/A</t>
        </is>
      </c>
      <c r="M39" s="172" t="inlineStr">
        <is>
          <t>N/A</t>
        </is>
      </c>
      <c r="N39" s="173">
        <f>N36/N35</f>
        <v/>
      </c>
      <c r="O39" s="173">
        <f>O36/O35</f>
        <v/>
      </c>
      <c r="P39" s="173">
        <f>P36/P35</f>
        <v/>
      </c>
      <c r="Q39" s="173">
        <f>Q36/Q35</f>
        <v/>
      </c>
      <c r="R39" s="173">
        <f>R36/R35</f>
        <v/>
      </c>
      <c r="S39" s="173">
        <f>S36/S35</f>
        <v/>
      </c>
      <c r="T39" s="173">
        <f>T36/T35</f>
        <v/>
      </c>
      <c r="U39" s="173">
        <f>U36/U35</f>
        <v/>
      </c>
      <c r="V39" s="173">
        <f>V36/V35</f>
        <v/>
      </c>
      <c r="W39" s="173">
        <f>W36/W35</f>
        <v/>
      </c>
      <c r="X39" s="173">
        <f>X36/X35</f>
        <v/>
      </c>
      <c r="Y39" s="173">
        <f>Y36/Y35</f>
        <v/>
      </c>
      <c r="Z39" s="173">
        <f>Z36/Z35</f>
        <v/>
      </c>
      <c r="AA39" s="173">
        <f>AA36/AA35</f>
        <v/>
      </c>
      <c r="AB39" s="173">
        <f>AB36/AB35</f>
        <v/>
      </c>
      <c r="AC39" s="173">
        <f>AC36/AC35</f>
        <v/>
      </c>
      <c r="AD39" s="173">
        <f>AD36/AD35</f>
        <v/>
      </c>
      <c r="AE39" s="173">
        <f>AE36/AE35</f>
        <v/>
      </c>
      <c r="AF39" s="173">
        <f>AF36/AF35</f>
        <v/>
      </c>
      <c r="AG39" s="173">
        <f>AG36/AG35</f>
        <v/>
      </c>
      <c r="AH39" s="173">
        <f>AH36/AH35</f>
        <v/>
      </c>
      <c r="AI39" s="173">
        <f>AI36/AI35</f>
        <v/>
      </c>
      <c r="AJ39" s="173">
        <f>AJ36/AJ35</f>
        <v/>
      </c>
      <c r="AK39" s="173">
        <f>AK36/AK35</f>
        <v/>
      </c>
      <c r="AL39" s="173">
        <f>AL36/AL35</f>
        <v/>
      </c>
      <c r="AM39" s="173">
        <f>AM36/AM35</f>
        <v/>
      </c>
      <c r="AN39" s="173">
        <f>AN36/AN35</f>
        <v/>
      </c>
      <c r="AO39" s="173">
        <f>AO36/AO35</f>
        <v/>
      </c>
      <c r="AP39" s="173">
        <f>AP36/AP35</f>
        <v/>
      </c>
      <c r="AQ39" s="173">
        <f>AQ36/AQ35</f>
        <v/>
      </c>
      <c r="AR39" s="173">
        <f>AR36/AR35</f>
        <v/>
      </c>
      <c r="AS39" s="173">
        <f>AS36/AS35</f>
        <v/>
      </c>
      <c r="AT39" s="173">
        <f>AT36/AT35</f>
        <v/>
      </c>
      <c r="AU39" s="173">
        <f>AU36/AU35</f>
        <v/>
      </c>
      <c r="AV39" s="173">
        <f>AV36/AV35</f>
        <v/>
      </c>
      <c r="AW39" s="173">
        <f>AW36/AW35</f>
        <v/>
      </c>
      <c r="AX39" s="173">
        <f>AX36/AX35</f>
        <v/>
      </c>
      <c r="AY39" s="173">
        <f>AY36/AY35</f>
        <v/>
      </c>
      <c r="AZ39" s="173">
        <f>AZ36/AZ35</f>
        <v/>
      </c>
      <c r="BA39" s="173">
        <f>BA36/BA35</f>
        <v/>
      </c>
      <c r="BB39" s="173">
        <f>BB36/BB35</f>
        <v/>
      </c>
      <c r="BC39" s="173">
        <f>BC36/BC35</f>
        <v/>
      </c>
      <c r="BD39" s="173">
        <f>BD36/BD35</f>
        <v/>
      </c>
      <c r="BE39" s="173">
        <f>BE36/BE35</f>
        <v/>
      </c>
      <c r="BF39" s="173">
        <f>BF36/BF35</f>
        <v/>
      </c>
      <c r="BG39" s="173">
        <f>BG36/BG35</f>
        <v/>
      </c>
      <c r="BH39" s="173">
        <f>BH36/BH35</f>
        <v/>
      </c>
      <c r="BI39" s="174">
        <f>BI36/BI35</f>
        <v/>
      </c>
    </row>
    <row r="40">
      <c r="A40" s="128" t="n"/>
      <c r="B40" s="128" t="n"/>
      <c r="C40" s="128" t="n"/>
      <c r="D40" s="128" t="n"/>
      <c r="E40" s="128" t="n"/>
      <c r="F40" s="128" t="n"/>
      <c r="G40" s="128" t="n"/>
      <c r="H40" s="128" t="n"/>
      <c r="I40" s="128" t="n"/>
      <c r="J40" s="128" t="n"/>
      <c r="K40" s="128" t="n"/>
      <c r="L40" s="128" t="n"/>
      <c r="M40" s="128" t="n"/>
      <c r="N40" s="128" t="n"/>
      <c r="O40" s="128" t="n"/>
      <c r="P40" s="128" t="n"/>
      <c r="Q40" s="128" t="n"/>
      <c r="R40" s="128" t="n"/>
      <c r="S40" s="128" t="n"/>
      <c r="T40" s="128" t="n"/>
      <c r="U40" s="128" t="n"/>
      <c r="V40" s="128" t="n"/>
      <c r="W40" s="128" t="n"/>
      <c r="X40" s="128" t="n"/>
      <c r="Y40" s="128" t="n"/>
      <c r="Z40" s="128" t="n"/>
      <c r="AA40" s="128" t="n"/>
      <c r="AB40" s="128" t="n"/>
      <c r="AC40" s="128" t="n"/>
      <c r="AD40" s="128" t="n"/>
      <c r="AE40" s="128" t="n"/>
      <c r="AF40" s="128" t="n"/>
      <c r="AG40" s="128" t="n"/>
      <c r="AH40" s="128" t="n"/>
      <c r="AI40" s="128" t="n"/>
      <c r="AJ40" s="128" t="n"/>
      <c r="AK40" s="128" t="n"/>
      <c r="AL40" s="128" t="n"/>
      <c r="AM40" s="128" t="n"/>
      <c r="AN40" s="128" t="n"/>
      <c r="AO40" s="128" t="n"/>
      <c r="AP40" s="128" t="n"/>
      <c r="AQ40" s="128" t="n"/>
      <c r="AR40" s="128" t="n"/>
      <c r="AS40" s="128" t="n"/>
      <c r="AT40" s="128" t="n"/>
      <c r="AU40" s="128" t="n"/>
      <c r="AV40" s="128" t="n"/>
      <c r="AW40" s="128" t="n"/>
      <c r="AX40" s="128" t="n"/>
      <c r="AY40" s="128" t="n"/>
      <c r="AZ40" s="128" t="n"/>
      <c r="BA40" s="128" t="n"/>
      <c r="BB40" s="128" t="n"/>
      <c r="BC40" s="128" t="n"/>
      <c r="BD40" s="128" t="n"/>
      <c r="BE40" s="128" t="n"/>
      <c r="BF40" s="128" t="n"/>
      <c r="BG40" s="128" t="n"/>
      <c r="BH40" s="128" t="n"/>
      <c r="BI40" s="128" t="n"/>
    </row>
    <row r="41">
      <c r="A41" s="36" t="inlineStr">
        <is>
          <t>Bullion Redemption</t>
        </is>
      </c>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c r="AF41" s="94" t="n"/>
      <c r="AG41" s="94" t="n"/>
      <c r="AH41" s="94" t="n"/>
      <c r="AI41" s="94" t="n"/>
      <c r="AJ41" s="94" t="n"/>
      <c r="AK41" s="94" t="n"/>
      <c r="AL41" s="94" t="n"/>
      <c r="AM41" s="94" t="n"/>
      <c r="AN41" s="94" t="n"/>
      <c r="AO41" s="94" t="n"/>
      <c r="AP41" s="94" t="n"/>
      <c r="AQ41" s="94" t="n"/>
      <c r="AR41" s="94" t="n"/>
      <c r="AS41" s="94" t="n"/>
      <c r="AT41" s="94" t="n"/>
      <c r="AU41" s="94" t="n"/>
      <c r="AV41" s="94" t="n"/>
      <c r="AW41" s="94" t="n"/>
      <c r="AX41" s="94" t="n"/>
      <c r="AY41" s="94" t="n"/>
      <c r="AZ41" s="94" t="n"/>
      <c r="BA41" s="94" t="n"/>
      <c r="BB41" s="94" t="n"/>
      <c r="BC41" s="94" t="n"/>
      <c r="BD41" s="94" t="n"/>
      <c r="BE41" s="94" t="n"/>
      <c r="BF41" s="94" t="n"/>
      <c r="BG41" s="94" t="n"/>
      <c r="BH41" s="94" t="n"/>
      <c r="BI41" s="121" t="n"/>
    </row>
    <row r="42">
      <c r="A42" s="38" t="inlineStr">
        <is>
          <t>Cumulative Redemption Cap (oz)</t>
        </is>
      </c>
      <c r="B42" s="117" t="n">
        <v>0</v>
      </c>
      <c r="C42" s="117" t="n">
        <v>0</v>
      </c>
      <c r="D42" s="117" t="n">
        <v>0</v>
      </c>
      <c r="E42" s="117" t="n">
        <v>0</v>
      </c>
      <c r="F42" s="117" t="n">
        <v>0</v>
      </c>
      <c r="G42" s="117" t="n">
        <v>0</v>
      </c>
      <c r="H42" s="117" t="n">
        <v>0</v>
      </c>
      <c r="I42" s="117" t="n">
        <v>0</v>
      </c>
      <c r="J42" s="117" t="n">
        <v>0</v>
      </c>
      <c r="K42" s="87">
        <f>K35*Inputs!B55</f>
        <v/>
      </c>
      <c r="L42" s="87">
        <f>L35*Inputs!B55</f>
        <v/>
      </c>
      <c r="M42" s="87">
        <f>M35*Inputs!B55</f>
        <v/>
      </c>
      <c r="N42" s="87">
        <f>N35*Inputs!B55</f>
        <v/>
      </c>
      <c r="O42" s="87">
        <f>O35*Inputs!B55</f>
        <v/>
      </c>
      <c r="P42" s="87">
        <f>P35*Inputs!B55</f>
        <v/>
      </c>
      <c r="Q42" s="87">
        <f>Q35*Inputs!B55</f>
        <v/>
      </c>
      <c r="R42" s="87">
        <f>R35*Inputs!B55</f>
        <v/>
      </c>
      <c r="S42" s="87">
        <f>S35*Inputs!B55</f>
        <v/>
      </c>
      <c r="T42" s="87">
        <f>T35*Inputs!B55</f>
        <v/>
      </c>
      <c r="U42" s="87">
        <f>U35*Inputs!B55</f>
        <v/>
      </c>
      <c r="V42" s="87">
        <f>V35*Inputs!B55</f>
        <v/>
      </c>
      <c r="W42" s="87">
        <f>W35*Inputs!B55</f>
        <v/>
      </c>
      <c r="X42" s="87">
        <f>X35*Inputs!B55</f>
        <v/>
      </c>
      <c r="Y42" s="87">
        <f>Y35*Inputs!B55</f>
        <v/>
      </c>
      <c r="Z42" s="87">
        <f>Z35*Inputs!B55</f>
        <v/>
      </c>
      <c r="AA42" s="87">
        <f>AA35*Inputs!B55</f>
        <v/>
      </c>
      <c r="AB42" s="87">
        <f>AB35*Inputs!B55</f>
        <v/>
      </c>
      <c r="AC42" s="87">
        <f>AC35*Inputs!B55</f>
        <v/>
      </c>
      <c r="AD42" s="87">
        <f>AD35*Inputs!B55</f>
        <v/>
      </c>
      <c r="AE42" s="87">
        <f>AE35*Inputs!B55</f>
        <v/>
      </c>
      <c r="AF42" s="87">
        <f>AF35*Inputs!B55</f>
        <v/>
      </c>
      <c r="AG42" s="87">
        <f>AG35*Inputs!B55</f>
        <v/>
      </c>
      <c r="AH42" s="87">
        <f>AH35*Inputs!B55</f>
        <v/>
      </c>
      <c r="AI42" s="87">
        <f>AI35*Inputs!B55</f>
        <v/>
      </c>
      <c r="AJ42" s="87">
        <f>AJ35*Inputs!B55</f>
        <v/>
      </c>
      <c r="AK42" s="87">
        <f>AK35*Inputs!B55</f>
        <v/>
      </c>
      <c r="AL42" s="87">
        <f>AL35*Inputs!B55</f>
        <v/>
      </c>
      <c r="AM42" s="87">
        <f>AM35*Inputs!B55</f>
        <v/>
      </c>
      <c r="AN42" s="87">
        <f>AN35*Inputs!B55</f>
        <v/>
      </c>
      <c r="AO42" s="87">
        <f>AO35*Inputs!B55</f>
        <v/>
      </c>
      <c r="AP42" s="87">
        <f>AP35*Inputs!B55</f>
        <v/>
      </c>
      <c r="AQ42" s="87">
        <f>AQ35*Inputs!B55</f>
        <v/>
      </c>
      <c r="AR42" s="87">
        <f>AR35*Inputs!B55</f>
        <v/>
      </c>
      <c r="AS42" s="87">
        <f>AS35*Inputs!B55</f>
        <v/>
      </c>
      <c r="AT42" s="87">
        <f>AT35*Inputs!B55</f>
        <v/>
      </c>
      <c r="AU42" s="87">
        <f>AU35*Inputs!B55</f>
        <v/>
      </c>
      <c r="AV42" s="87">
        <f>AV35*Inputs!B55</f>
        <v/>
      </c>
      <c r="AW42" s="87">
        <f>AW35*Inputs!B55</f>
        <v/>
      </c>
      <c r="AX42" s="87">
        <f>AX35*Inputs!B55</f>
        <v/>
      </c>
      <c r="AY42" s="87">
        <f>AY35*Inputs!B55</f>
        <v/>
      </c>
      <c r="AZ42" s="87">
        <f>AZ35*Inputs!B55</f>
        <v/>
      </c>
      <c r="BA42" s="87">
        <f>BA35*Inputs!B55</f>
        <v/>
      </c>
      <c r="BB42" s="87">
        <f>BB35*Inputs!B55</f>
        <v/>
      </c>
      <c r="BC42" s="87">
        <f>BC35*Inputs!B55</f>
        <v/>
      </c>
      <c r="BD42" s="87">
        <f>BD35*Inputs!B55</f>
        <v/>
      </c>
      <c r="BE42" s="87">
        <f>BE35*Inputs!B55</f>
        <v/>
      </c>
      <c r="BF42" s="87">
        <f>BF35*Inputs!B55</f>
        <v/>
      </c>
      <c r="BG42" s="87">
        <f>BG35*Inputs!B55</f>
        <v/>
      </c>
      <c r="BH42" s="87">
        <f>BH35*Inputs!B55</f>
        <v/>
      </c>
      <c r="BI42" s="161">
        <f>BI35*Inputs!B55</f>
        <v/>
      </c>
    </row>
    <row r="43">
      <c r="A43" s="38" t="inlineStr">
        <is>
          <t>Cumulative Redemption Cap ($)</t>
        </is>
      </c>
      <c r="B43" s="133">
        <f>B42*XAUconfig!B3</f>
        <v/>
      </c>
      <c r="C43" s="133">
        <f>C42*XAUconfig!C3</f>
        <v/>
      </c>
      <c r="D43" s="133">
        <f>D42*XAUconfig!D3</f>
        <v/>
      </c>
      <c r="E43" s="133">
        <f>E42*XAUconfig!E3</f>
        <v/>
      </c>
      <c r="F43" s="133">
        <f>F42*XAUconfig!F3</f>
        <v/>
      </c>
      <c r="G43" s="133">
        <f>G42*XAUconfig!G3</f>
        <v/>
      </c>
      <c r="H43" s="133">
        <f>H42*XAUconfig!H3</f>
        <v/>
      </c>
      <c r="I43" s="133">
        <f>I42*XAUconfig!I3</f>
        <v/>
      </c>
      <c r="J43" s="133">
        <f>J42*XAUconfig!J3</f>
        <v/>
      </c>
      <c r="K43" s="133">
        <f>K42*XAUconfig!K3</f>
        <v/>
      </c>
      <c r="L43" s="133">
        <f>L42*XAUconfig!L3</f>
        <v/>
      </c>
      <c r="M43" s="133">
        <f>M42*XAUconfig!M3</f>
        <v/>
      </c>
      <c r="N43" s="133">
        <f>N42*XAUconfig!N3</f>
        <v/>
      </c>
      <c r="O43" s="133">
        <f>O42*XAUconfig!O3</f>
        <v/>
      </c>
      <c r="P43" s="133">
        <f>P42*XAUconfig!P3</f>
        <v/>
      </c>
      <c r="Q43" s="133">
        <f>Q42*XAUconfig!Q3</f>
        <v/>
      </c>
      <c r="R43" s="133">
        <f>R42*XAUconfig!R3</f>
        <v/>
      </c>
      <c r="S43" s="133">
        <f>S42*XAUconfig!S3</f>
        <v/>
      </c>
      <c r="T43" s="133">
        <f>T42*XAUconfig!T3</f>
        <v/>
      </c>
      <c r="U43" s="133">
        <f>U42*XAUconfig!U3</f>
        <v/>
      </c>
      <c r="V43" s="133">
        <f>V42*XAUconfig!V3</f>
        <v/>
      </c>
      <c r="W43" s="133">
        <f>W42*XAUconfig!W3</f>
        <v/>
      </c>
      <c r="X43" s="133">
        <f>X42*XAUconfig!X3</f>
        <v/>
      </c>
      <c r="Y43" s="133">
        <f>Y42*XAUconfig!Y3</f>
        <v/>
      </c>
      <c r="Z43" s="133">
        <f>Z42*XAUconfig!Z3</f>
        <v/>
      </c>
      <c r="AA43" s="133">
        <f>AA42*XAUconfig!AA3</f>
        <v/>
      </c>
      <c r="AB43" s="133">
        <f>AB42*XAUconfig!AB3</f>
        <v/>
      </c>
      <c r="AC43" s="133">
        <f>AC42*XAUconfig!AC3</f>
        <v/>
      </c>
      <c r="AD43" s="133">
        <f>AD42*XAUconfig!AD3</f>
        <v/>
      </c>
      <c r="AE43" s="133">
        <f>AE42*XAUconfig!AE3</f>
        <v/>
      </c>
      <c r="AF43" s="133">
        <f>AF42*XAUconfig!AF3</f>
        <v/>
      </c>
      <c r="AG43" s="133">
        <f>AG42*XAUconfig!AG3</f>
        <v/>
      </c>
      <c r="AH43" s="133">
        <f>AH42*XAUconfig!AH3</f>
        <v/>
      </c>
      <c r="AI43" s="133">
        <f>AI42*XAUconfig!AI3</f>
        <v/>
      </c>
      <c r="AJ43" s="133">
        <f>AJ42*XAUconfig!AJ3</f>
        <v/>
      </c>
      <c r="AK43" s="133">
        <f>AK42*XAUconfig!AK3</f>
        <v/>
      </c>
      <c r="AL43" s="133">
        <f>AL42*XAUconfig!AL3</f>
        <v/>
      </c>
      <c r="AM43" s="133">
        <f>AM42*XAUconfig!AM3</f>
        <v/>
      </c>
      <c r="AN43" s="133">
        <f>AN42*XAUconfig!AN3</f>
        <v/>
      </c>
      <c r="AO43" s="133">
        <f>AO42*XAUconfig!AO3</f>
        <v/>
      </c>
      <c r="AP43" s="133">
        <f>AP42*XAUconfig!AP3</f>
        <v/>
      </c>
      <c r="AQ43" s="133">
        <f>AQ42*XAUconfig!AQ3</f>
        <v/>
      </c>
      <c r="AR43" s="133">
        <f>AR42*XAUconfig!AR3</f>
        <v/>
      </c>
      <c r="AS43" s="133">
        <f>AS42*XAUconfig!AS3</f>
        <v/>
      </c>
      <c r="AT43" s="133">
        <f>AT42*XAUconfig!AT3</f>
        <v/>
      </c>
      <c r="AU43" s="133">
        <f>AU42*XAUconfig!AU3</f>
        <v/>
      </c>
      <c r="AV43" s="133">
        <f>AV42*XAUconfig!AV3</f>
        <v/>
      </c>
      <c r="AW43" s="133">
        <f>AW42*XAUconfig!AW3</f>
        <v/>
      </c>
      <c r="AX43" s="133">
        <f>AX42*XAUconfig!AX3</f>
        <v/>
      </c>
      <c r="AY43" s="133">
        <f>AY42*XAUconfig!AY3</f>
        <v/>
      </c>
      <c r="AZ43" s="133">
        <f>AZ42*XAUconfig!AZ3</f>
        <v/>
      </c>
      <c r="BA43" s="133">
        <f>BA42*XAUconfig!BA3</f>
        <v/>
      </c>
      <c r="BB43" s="133">
        <f>BB42*XAUconfig!BB3</f>
        <v/>
      </c>
      <c r="BC43" s="133">
        <f>BC42*XAUconfig!BC3</f>
        <v/>
      </c>
      <c r="BD43" s="133">
        <f>BD42*XAUconfig!BD3</f>
        <v/>
      </c>
      <c r="BE43" s="133">
        <f>BE42*XAUconfig!BE3</f>
        <v/>
      </c>
      <c r="BF43" s="133">
        <f>BF42*XAUconfig!BF3</f>
        <v/>
      </c>
      <c r="BG43" s="133">
        <f>BG42*XAUconfig!BG3</f>
        <v/>
      </c>
      <c r="BH43" s="133">
        <f>BH42*XAUconfig!BH3</f>
        <v/>
      </c>
      <c r="BI43" s="135">
        <f>BI42*XAUconfig!BI3</f>
        <v/>
      </c>
    </row>
    <row r="44">
      <c r="A44" s="38" t="inlineStr">
        <is>
          <t>Fulfilled Redemptions (oz)</t>
        </is>
      </c>
      <c r="B44" s="117" t="n">
        <v>0</v>
      </c>
      <c r="C44" s="117" t="n">
        <v>0</v>
      </c>
      <c r="D44" s="117" t="n">
        <v>0</v>
      </c>
      <c r="E44" s="117" t="n">
        <v>0</v>
      </c>
      <c r="F44" s="117" t="n">
        <v>0</v>
      </c>
      <c r="G44" s="117" t="n">
        <v>0</v>
      </c>
      <c r="H44" s="117" t="n">
        <v>0</v>
      </c>
      <c r="I44" s="117" t="n">
        <v>0</v>
      </c>
      <c r="J44" s="117" t="n">
        <v>0</v>
      </c>
      <c r="K44" s="117" t="n">
        <v>0</v>
      </c>
      <c r="L44" s="117" t="n">
        <v>0</v>
      </c>
      <c r="M44" s="117" t="n">
        <v>0</v>
      </c>
      <c r="N44" s="165" t="n">
        <v>10</v>
      </c>
      <c r="O44" s="165" t="n">
        <v>10</v>
      </c>
      <c r="P44" s="165" t="n">
        <v>10</v>
      </c>
      <c r="Q44" s="165" t="n">
        <v>10</v>
      </c>
      <c r="R44" s="165" t="n">
        <v>10</v>
      </c>
      <c r="S44" s="165" t="n">
        <v>10</v>
      </c>
      <c r="T44" s="165" t="n">
        <v>10</v>
      </c>
      <c r="U44" s="165" t="n">
        <v>10</v>
      </c>
      <c r="V44" s="165" t="n">
        <v>10</v>
      </c>
      <c r="W44" s="165" t="n">
        <v>10</v>
      </c>
      <c r="X44" s="165" t="n">
        <v>10</v>
      </c>
      <c r="Y44" s="165" t="n">
        <v>10</v>
      </c>
      <c r="Z44" s="165" t="n">
        <v>25</v>
      </c>
      <c r="AA44" s="165" t="n">
        <v>25</v>
      </c>
      <c r="AB44" s="165" t="n">
        <v>25</v>
      </c>
      <c r="AC44" s="165" t="n">
        <v>25</v>
      </c>
      <c r="AD44" s="165" t="n">
        <v>25</v>
      </c>
      <c r="AE44" s="165" t="n">
        <v>25</v>
      </c>
      <c r="AF44" s="165" t="n">
        <v>25</v>
      </c>
      <c r="AG44" s="165" t="n">
        <v>25</v>
      </c>
      <c r="AH44" s="165" t="n">
        <v>25</v>
      </c>
      <c r="AI44" s="165" t="n">
        <v>25</v>
      </c>
      <c r="AJ44" s="165" t="n">
        <v>25</v>
      </c>
      <c r="AK44" s="165" t="n">
        <v>25</v>
      </c>
      <c r="AL44" s="165" t="n">
        <v>100</v>
      </c>
      <c r="AM44" s="165" t="n">
        <v>100</v>
      </c>
      <c r="AN44" s="165" t="n">
        <v>100</v>
      </c>
      <c r="AO44" s="165" t="n">
        <v>100</v>
      </c>
      <c r="AP44" s="165" t="n">
        <v>100</v>
      </c>
      <c r="AQ44" s="165" t="n">
        <v>100</v>
      </c>
      <c r="AR44" s="165" t="n">
        <v>100</v>
      </c>
      <c r="AS44" s="165" t="n">
        <v>100</v>
      </c>
      <c r="AT44" s="165" t="n">
        <v>100</v>
      </c>
      <c r="AU44" s="165" t="n">
        <v>100</v>
      </c>
      <c r="AV44" s="165" t="n">
        <v>100</v>
      </c>
      <c r="AW44" s="165" t="n">
        <v>100</v>
      </c>
      <c r="AX44" s="165" t="n">
        <v>100</v>
      </c>
      <c r="AY44" s="165" t="n">
        <v>100</v>
      </c>
      <c r="AZ44" s="165" t="n">
        <v>100</v>
      </c>
      <c r="BA44" s="165" t="n">
        <v>100</v>
      </c>
      <c r="BB44" s="165" t="n">
        <v>100</v>
      </c>
      <c r="BC44" s="165" t="n">
        <v>100</v>
      </c>
      <c r="BD44" s="165" t="n">
        <v>100</v>
      </c>
      <c r="BE44" s="165" t="n">
        <v>100</v>
      </c>
      <c r="BF44" s="165" t="n">
        <v>100</v>
      </c>
      <c r="BG44" s="165" t="n">
        <v>100</v>
      </c>
      <c r="BH44" s="165" t="n">
        <v>100</v>
      </c>
      <c r="BI44" s="165" t="n">
        <v>100</v>
      </c>
    </row>
    <row r="45">
      <c r="A45" s="45" t="inlineStr">
        <is>
          <t>Cost of Fulfilled Redemptions</t>
        </is>
      </c>
      <c r="B45" s="139">
        <f>B44*XAUconfig!B3</f>
        <v/>
      </c>
      <c r="C45" s="139">
        <f>C44*XAUconfig!C3</f>
        <v/>
      </c>
      <c r="D45" s="139">
        <f>D44*XAUconfig!D3</f>
        <v/>
      </c>
      <c r="E45" s="139">
        <f>E44*XAUconfig!E3</f>
        <v/>
      </c>
      <c r="F45" s="139">
        <f>F44*XAUconfig!F3</f>
        <v/>
      </c>
      <c r="G45" s="139">
        <f>G44*XAUconfig!G3</f>
        <v/>
      </c>
      <c r="H45" s="139">
        <f>H44*XAUconfig!H3</f>
        <v/>
      </c>
      <c r="I45" s="139">
        <f>I44*XAUconfig!I3</f>
        <v/>
      </c>
      <c r="J45" s="139">
        <f>J44*XAUconfig!J3</f>
        <v/>
      </c>
      <c r="K45" s="139">
        <f>K44*XAUconfig!K3</f>
        <v/>
      </c>
      <c r="L45" s="139">
        <f>L44*XAUconfig!L3</f>
        <v/>
      </c>
      <c r="M45" s="139">
        <f>M44*XAUconfig!M3</f>
        <v/>
      </c>
      <c r="N45" s="139">
        <f>N44*XAUconfig!N3</f>
        <v/>
      </c>
      <c r="O45" s="139">
        <f>O44*XAUconfig!O3</f>
        <v/>
      </c>
      <c r="P45" s="139">
        <f>P44*XAUconfig!P3</f>
        <v/>
      </c>
      <c r="Q45" s="139">
        <f>Q44*XAUconfig!Q3</f>
        <v/>
      </c>
      <c r="R45" s="139">
        <f>R44*XAUconfig!R3</f>
        <v/>
      </c>
      <c r="S45" s="139">
        <f>S44*XAUconfig!S3</f>
        <v/>
      </c>
      <c r="T45" s="139">
        <f>T44*XAUconfig!T3</f>
        <v/>
      </c>
      <c r="U45" s="139">
        <f>U44*XAUconfig!U3</f>
        <v/>
      </c>
      <c r="V45" s="139">
        <f>V44*XAUconfig!V3</f>
        <v/>
      </c>
      <c r="W45" s="139">
        <f>W44*XAUconfig!W3</f>
        <v/>
      </c>
      <c r="X45" s="139">
        <f>X44*XAUconfig!X3</f>
        <v/>
      </c>
      <c r="Y45" s="139">
        <f>Y44*XAUconfig!Y3</f>
        <v/>
      </c>
      <c r="Z45" s="139">
        <f>Z44*XAUconfig!Z3</f>
        <v/>
      </c>
      <c r="AA45" s="139">
        <f>AA44*XAUconfig!AA3</f>
        <v/>
      </c>
      <c r="AB45" s="139">
        <f>AB44*XAUconfig!AB3</f>
        <v/>
      </c>
      <c r="AC45" s="139">
        <f>AC44*XAUconfig!AC3</f>
        <v/>
      </c>
      <c r="AD45" s="139">
        <f>AD44*XAUconfig!AD3</f>
        <v/>
      </c>
      <c r="AE45" s="139">
        <f>AE44*XAUconfig!AE3</f>
        <v/>
      </c>
      <c r="AF45" s="139">
        <f>AF44*XAUconfig!AF3</f>
        <v/>
      </c>
      <c r="AG45" s="139">
        <f>AG44*XAUconfig!AG3</f>
        <v/>
      </c>
      <c r="AH45" s="139">
        <f>AH44*XAUconfig!AH3</f>
        <v/>
      </c>
      <c r="AI45" s="139">
        <f>AI44*XAUconfig!AI3</f>
        <v/>
      </c>
      <c r="AJ45" s="139">
        <f>AJ44*XAUconfig!AJ3</f>
        <v/>
      </c>
      <c r="AK45" s="139">
        <f>AK44*XAUconfig!AK3</f>
        <v/>
      </c>
      <c r="AL45" s="139">
        <f>AL44*XAUconfig!AL3</f>
        <v/>
      </c>
      <c r="AM45" s="139">
        <f>AM44*XAUconfig!AM3</f>
        <v/>
      </c>
      <c r="AN45" s="139">
        <f>AN44*XAUconfig!AN3</f>
        <v/>
      </c>
      <c r="AO45" s="139">
        <f>AO44*XAUconfig!AO3</f>
        <v/>
      </c>
      <c r="AP45" s="139">
        <f>AP44*XAUconfig!AP3</f>
        <v/>
      </c>
      <c r="AQ45" s="139">
        <f>AQ44*XAUconfig!AQ3</f>
        <v/>
      </c>
      <c r="AR45" s="139">
        <f>AR44*XAUconfig!AR3</f>
        <v/>
      </c>
      <c r="AS45" s="139">
        <f>AS44*XAUconfig!AS3</f>
        <v/>
      </c>
      <c r="AT45" s="139">
        <f>AT44*XAUconfig!AT3</f>
        <v/>
      </c>
      <c r="AU45" s="139">
        <f>AU44*XAUconfig!AU3</f>
        <v/>
      </c>
      <c r="AV45" s="139">
        <f>AV44*XAUconfig!AV3</f>
        <v/>
      </c>
      <c r="AW45" s="139">
        <f>AW44*XAUconfig!AW3</f>
        <v/>
      </c>
      <c r="AX45" s="139">
        <f>AX44*XAUconfig!AX3</f>
        <v/>
      </c>
      <c r="AY45" s="139">
        <f>AY44*XAUconfig!AY3</f>
        <v/>
      </c>
      <c r="AZ45" s="139">
        <f>AZ44*XAUconfig!AZ3</f>
        <v/>
      </c>
      <c r="BA45" s="139">
        <f>BA44*XAUconfig!BA3</f>
        <v/>
      </c>
      <c r="BB45" s="139">
        <f>BB44*XAUconfig!BB3</f>
        <v/>
      </c>
      <c r="BC45" s="139">
        <f>BC44*XAUconfig!BC3</f>
        <v/>
      </c>
      <c r="BD45" s="139">
        <f>BD44*XAUconfig!BD3</f>
        <v/>
      </c>
      <c r="BE45" s="139">
        <f>BE44*XAUconfig!BE3</f>
        <v/>
      </c>
      <c r="BF45" s="139">
        <f>BF44*XAUconfig!BF3</f>
        <v/>
      </c>
      <c r="BG45" s="139">
        <f>BG44*XAUconfig!BG3</f>
        <v/>
      </c>
      <c r="BH45" s="139">
        <f>BH44*XAUconfig!BH3</f>
        <v/>
      </c>
      <c r="BI45" s="139">
        <f>BI44*XAUconfig!BI3</f>
        <v/>
      </c>
    </row>
    <row r="54">
      <c r="P54" s="117">
        <f>('Mine Inventory'!W2-'Resource Supply (5yr)'!S10)*'Mine Inventory'!AF2</f>
        <v/>
      </c>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5" min="0" max="16383" man="1"/>
  </rowBreaks>
  <colBreaks count="5" manualBreakCount="5">
    <brk id="49" min="0" max="16383" man="1"/>
    <brk id="37" min="0" max="16383" man="1"/>
    <brk id="25" min="0" max="16383" man="1"/>
    <brk id="61" min="0" max="16383" man="1"/>
    <brk id="13" min="0" max="16383" man="1"/>
  </colBreaks>
</worksheet>
</file>

<file path=xl/worksheets/sheet8.xml><?xml version="1.0" encoding="utf-8"?>
<worksheet xmlns="http://schemas.openxmlformats.org/spreadsheetml/2006/main">
  <sheetPr>
    <outlinePr summaryBelow="0" summaryRight="0"/>
    <pageSetUpPr/>
  </sheetPr>
  <dimension ref="A1:BI9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40.38" customWidth="1" style="323" min="1" max="1"/>
    <col width="8.75" customWidth="1" style="323" min="2" max="2"/>
    <col width="8.630000000000001" customWidth="1" style="323" min="3" max="4"/>
    <col width="7.75" customWidth="1" style="323" min="5" max="5"/>
    <col width="7.5" customWidth="1" style="323" min="6" max="6"/>
    <col width="10.38" customWidth="1" style="323" min="7" max="7"/>
    <col width="11.38" customWidth="1" style="323" min="8" max="8"/>
    <col width="10" customWidth="1" style="323" min="9" max="9"/>
    <col width="12" customWidth="1" style="323" min="10" max="10"/>
    <col width="11.38" customWidth="1" style="323" min="11" max="11"/>
    <col width="11.5" customWidth="1" style="323" min="12" max="12"/>
    <col width="10.88" customWidth="1" style="323" min="13" max="13"/>
  </cols>
  <sheetData>
    <row r="1">
      <c r="A1" s="12" t="inlineStr">
        <is>
          <t>Token Demand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36" t="inlineStr">
        <is>
          <t>RealGold Token Supply</t>
        </is>
      </c>
      <c r="B2" s="94" t="n"/>
      <c r="C2" s="94" t="n"/>
      <c r="D2" s="94" t="n"/>
      <c r="E2" s="94" t="n"/>
      <c r="F2" s="94" t="n"/>
      <c r="G2" s="83" t="n"/>
      <c r="H2" s="83" t="n"/>
      <c r="I2" s="83" t="n"/>
      <c r="J2" s="83" t="n"/>
      <c r="K2" s="83" t="n"/>
      <c r="L2" s="83" t="n"/>
      <c r="M2" s="83" t="n"/>
      <c r="N2" s="83" t="n"/>
      <c r="O2" s="83" t="n"/>
      <c r="P2" s="83" t="n"/>
      <c r="Q2" s="83" t="n"/>
      <c r="R2" s="83" t="n"/>
      <c r="S2" s="83" t="n"/>
      <c r="T2" s="83" t="n"/>
      <c r="U2" s="83" t="n"/>
      <c r="V2" s="83" t="n"/>
      <c r="W2" s="83" t="n"/>
      <c r="X2" s="83" t="n"/>
      <c r="Y2" s="83" t="n"/>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c r="AT2" s="83" t="n"/>
      <c r="AU2" s="83" t="n"/>
      <c r="AV2" s="83" t="n"/>
      <c r="AW2" s="83" t="n"/>
      <c r="AX2" s="83" t="n"/>
      <c r="AY2" s="83" t="n"/>
      <c r="AZ2" s="83" t="n"/>
      <c r="BA2" s="83" t="n"/>
      <c r="BB2" s="83" t="n"/>
      <c r="BC2" s="83" t="n"/>
      <c r="BD2" s="83" t="n"/>
      <c r="BE2" s="83" t="n"/>
      <c r="BF2" s="83" t="n"/>
      <c r="BG2" s="83" t="n"/>
      <c r="BH2" s="83" t="n"/>
      <c r="BI2" s="175" t="n"/>
    </row>
    <row r="3">
      <c r="A3" s="38" t="inlineStr">
        <is>
          <t>Total Unlocked Supply - Cumulative (oz)</t>
        </is>
      </c>
      <c r="B3" s="117" t="n">
        <v>0</v>
      </c>
      <c r="C3" s="117" t="n">
        <v>0</v>
      </c>
      <c r="D3" s="117" t="n">
        <v>0</v>
      </c>
      <c r="E3" s="117" t="n">
        <v>0</v>
      </c>
      <c r="F3" s="117" t="n">
        <v>0</v>
      </c>
      <c r="G3" s="87">
        <f>'Resource Supply (5yr)'!G34</f>
        <v/>
      </c>
      <c r="H3" s="87">
        <f>'Resource Supply (5yr)'!G34</f>
        <v/>
      </c>
      <c r="I3" s="87">
        <f>'Resource Supply (5yr)'!I34</f>
        <v/>
      </c>
      <c r="J3" s="87">
        <f>'Resource Supply (5yr)'!J34</f>
        <v/>
      </c>
      <c r="K3" s="87">
        <f>'Resource Supply (5yr)'!K34</f>
        <v/>
      </c>
      <c r="L3" s="87" t="n">
        <v>0</v>
      </c>
      <c r="M3" s="87" t="n">
        <v>0</v>
      </c>
      <c r="N3" s="87">
        <f>'Resource Supply (5yr)'!N34</f>
        <v/>
      </c>
      <c r="O3" s="87">
        <f>'Resource Supply (5yr)'!O34</f>
        <v/>
      </c>
      <c r="P3" s="87">
        <f>'Resource Supply (5yr)'!P34</f>
        <v/>
      </c>
      <c r="Q3" s="87">
        <f>'Resource Supply (5yr)'!Q34</f>
        <v/>
      </c>
      <c r="R3" s="87">
        <f>'Resource Supply (5yr)'!R34</f>
        <v/>
      </c>
      <c r="S3" s="87">
        <f>'Resource Supply (5yr)'!S34</f>
        <v/>
      </c>
      <c r="T3" s="87">
        <f>'Resource Supply (5yr)'!T34</f>
        <v/>
      </c>
      <c r="U3" s="87">
        <f>'Resource Supply (5yr)'!U34</f>
        <v/>
      </c>
      <c r="V3" s="87">
        <f>'Resource Supply (5yr)'!V34</f>
        <v/>
      </c>
      <c r="W3" s="87">
        <f>'Resource Supply (5yr)'!W34</f>
        <v/>
      </c>
      <c r="X3" s="87">
        <f>'Resource Supply (5yr)'!X34</f>
        <v/>
      </c>
      <c r="Y3" s="87">
        <f>'Resource Supply (5yr)'!Y34</f>
        <v/>
      </c>
      <c r="Z3" s="87">
        <f>'Resource Supply (5yr)'!Z34</f>
        <v/>
      </c>
      <c r="AA3" s="87">
        <f>'Resource Supply (5yr)'!AA34</f>
        <v/>
      </c>
      <c r="AB3" s="87">
        <f>'Resource Supply (5yr)'!AB34</f>
        <v/>
      </c>
      <c r="AC3" s="87">
        <f>'Resource Supply (5yr)'!AC34</f>
        <v/>
      </c>
      <c r="AD3" s="87">
        <f>'Resource Supply (5yr)'!AD34</f>
        <v/>
      </c>
      <c r="AE3" s="87">
        <f>'Resource Supply (5yr)'!AE34</f>
        <v/>
      </c>
      <c r="AF3" s="87">
        <f>'Resource Supply (5yr)'!AF34</f>
        <v/>
      </c>
      <c r="AG3" s="87">
        <f>'Resource Supply (5yr)'!AG34</f>
        <v/>
      </c>
      <c r="AH3" s="87">
        <f>'Resource Supply (5yr)'!AH34</f>
        <v/>
      </c>
      <c r="AI3" s="87">
        <f>'Resource Supply (5yr)'!AI34</f>
        <v/>
      </c>
      <c r="AJ3" s="87">
        <f>'Resource Supply (5yr)'!AJ34</f>
        <v/>
      </c>
      <c r="AK3" s="87">
        <f>'Resource Supply (5yr)'!AK34</f>
        <v/>
      </c>
      <c r="AL3" s="87">
        <f>'Resource Supply (5yr)'!AL34</f>
        <v/>
      </c>
      <c r="AM3" s="87">
        <f>'Resource Supply (5yr)'!AM34</f>
        <v/>
      </c>
      <c r="AN3" s="87">
        <f>'Resource Supply (5yr)'!AN34</f>
        <v/>
      </c>
      <c r="AO3" s="87">
        <f>'Resource Supply (5yr)'!AO34</f>
        <v/>
      </c>
      <c r="AP3" s="87">
        <f>'Resource Supply (5yr)'!AP34</f>
        <v/>
      </c>
      <c r="AQ3" s="87">
        <f>'Resource Supply (5yr)'!AQ34</f>
        <v/>
      </c>
      <c r="AR3" s="87">
        <f>'Resource Supply (5yr)'!AR34</f>
        <v/>
      </c>
      <c r="AS3" s="87">
        <f>'Resource Supply (5yr)'!AS34</f>
        <v/>
      </c>
      <c r="AT3" s="87">
        <f>'Resource Supply (5yr)'!AT34</f>
        <v/>
      </c>
      <c r="AU3" s="87">
        <f>'Resource Supply (5yr)'!AU34</f>
        <v/>
      </c>
      <c r="AV3" s="87">
        <f>'Resource Supply (5yr)'!AV34</f>
        <v/>
      </c>
      <c r="AW3" s="87">
        <f>'Resource Supply (5yr)'!AW34</f>
        <v/>
      </c>
      <c r="AX3" s="87">
        <f>'Resource Supply (5yr)'!AX34</f>
        <v/>
      </c>
      <c r="AY3" s="87">
        <f>'Resource Supply (5yr)'!AY34</f>
        <v/>
      </c>
      <c r="AZ3" s="87">
        <f>'Resource Supply (5yr)'!AZ34</f>
        <v/>
      </c>
      <c r="BA3" s="87">
        <f>'Resource Supply (5yr)'!BA34</f>
        <v/>
      </c>
      <c r="BB3" s="87">
        <f>'Resource Supply (5yr)'!BB34</f>
        <v/>
      </c>
      <c r="BC3" s="87">
        <f>'Resource Supply (5yr)'!BC34</f>
        <v/>
      </c>
      <c r="BD3" s="87">
        <f>'Resource Supply (5yr)'!BD34</f>
        <v/>
      </c>
      <c r="BE3" s="87">
        <f>'Resource Supply (5yr)'!BE34</f>
        <v/>
      </c>
      <c r="BF3" s="87">
        <f>'Resource Supply (5yr)'!BF34</f>
        <v/>
      </c>
      <c r="BG3" s="87">
        <f>'Resource Supply (5yr)'!BG34</f>
        <v/>
      </c>
      <c r="BH3" s="87">
        <f>'Resource Supply (5yr)'!BH34</f>
        <v/>
      </c>
      <c r="BI3" s="161">
        <f>'Resource Supply (5yr)'!BI34</f>
        <v/>
      </c>
    </row>
    <row r="4">
      <c r="A4" s="38" t="inlineStr">
        <is>
          <t>Total Circulating Supply - Cumulative (oz)</t>
        </is>
      </c>
      <c r="B4" s="117" t="n">
        <v>0</v>
      </c>
      <c r="C4" s="117" t="n">
        <v>0</v>
      </c>
      <c r="D4" s="117" t="n">
        <v>0</v>
      </c>
      <c r="E4" s="117" t="n">
        <v>0</v>
      </c>
      <c r="F4" s="117" t="n">
        <v>0</v>
      </c>
      <c r="G4" s="159">
        <f>'Token Supply (5yr)'!G36</f>
        <v/>
      </c>
      <c r="H4" s="159">
        <f>'Token Supply (5yr)'!H36</f>
        <v/>
      </c>
      <c r="I4" s="159">
        <f>'Token Supply (5yr)'!I36</f>
        <v/>
      </c>
      <c r="J4" s="159">
        <f>'Token Supply (5yr)'!J36</f>
        <v/>
      </c>
      <c r="K4" s="159">
        <f>'Token Supply (5yr)'!K36</f>
        <v/>
      </c>
      <c r="L4" s="159">
        <f>'Token Supply (5yr)'!L36</f>
        <v/>
      </c>
      <c r="M4" s="159">
        <f>'Token Supply (5yr)'!M36</f>
        <v/>
      </c>
      <c r="N4" s="159">
        <f>'Token Supply (5yr)'!N36</f>
        <v/>
      </c>
      <c r="O4" s="159">
        <f>'Token Supply (5yr)'!O36</f>
        <v/>
      </c>
      <c r="P4" s="159">
        <f>'Token Supply (5yr)'!P36</f>
        <v/>
      </c>
      <c r="Q4" s="159">
        <f>'Token Supply (5yr)'!Q36</f>
        <v/>
      </c>
      <c r="R4" s="159">
        <f>'Token Supply (5yr)'!R36</f>
        <v/>
      </c>
      <c r="S4" s="159">
        <f>'Token Supply (5yr)'!S36</f>
        <v/>
      </c>
      <c r="T4" s="159">
        <f>'Token Supply (5yr)'!T36</f>
        <v/>
      </c>
      <c r="U4" s="159">
        <f>'Token Supply (5yr)'!U36</f>
        <v/>
      </c>
      <c r="V4" s="159">
        <f>'Token Supply (5yr)'!V36</f>
        <v/>
      </c>
      <c r="W4" s="159">
        <f>'Token Supply (5yr)'!W36</f>
        <v/>
      </c>
      <c r="X4" s="159">
        <f>'Token Supply (5yr)'!X36</f>
        <v/>
      </c>
      <c r="Y4" s="159">
        <f>'Token Supply (5yr)'!Y36</f>
        <v/>
      </c>
      <c r="Z4" s="159">
        <f>'Token Supply (5yr)'!Z36</f>
        <v/>
      </c>
      <c r="AA4" s="159">
        <f>'Token Supply (5yr)'!AA36</f>
        <v/>
      </c>
      <c r="AB4" s="159">
        <f>'Token Supply (5yr)'!AB36</f>
        <v/>
      </c>
      <c r="AC4" s="159">
        <f>'Token Supply (5yr)'!AC36</f>
        <v/>
      </c>
      <c r="AD4" s="159">
        <f>'Token Supply (5yr)'!AD36</f>
        <v/>
      </c>
      <c r="AE4" s="159">
        <f>'Token Supply (5yr)'!AE36</f>
        <v/>
      </c>
      <c r="AF4" s="159">
        <f>'Token Supply (5yr)'!AF36</f>
        <v/>
      </c>
      <c r="AG4" s="159">
        <f>'Token Supply (5yr)'!AG36</f>
        <v/>
      </c>
      <c r="AH4" s="159">
        <f>'Token Supply (5yr)'!AH36</f>
        <v/>
      </c>
      <c r="AI4" s="159">
        <f>'Token Supply (5yr)'!AI36</f>
        <v/>
      </c>
      <c r="AJ4" s="159">
        <f>'Token Supply (5yr)'!AJ36</f>
        <v/>
      </c>
      <c r="AK4" s="159">
        <f>'Token Supply (5yr)'!AK36</f>
        <v/>
      </c>
      <c r="AL4" s="159">
        <f>'Token Supply (5yr)'!AL36</f>
        <v/>
      </c>
      <c r="AM4" s="159">
        <f>'Token Supply (5yr)'!AM36</f>
        <v/>
      </c>
      <c r="AN4" s="159">
        <f>'Token Supply (5yr)'!AN36</f>
        <v/>
      </c>
      <c r="AO4" s="159">
        <f>'Token Supply (5yr)'!AO36</f>
        <v/>
      </c>
      <c r="AP4" s="159">
        <f>'Token Supply (5yr)'!AP36</f>
        <v/>
      </c>
      <c r="AQ4" s="159">
        <f>'Token Supply (5yr)'!AQ36</f>
        <v/>
      </c>
      <c r="AR4" s="159">
        <f>'Token Supply (5yr)'!AR36</f>
        <v/>
      </c>
      <c r="AS4" s="159">
        <f>'Token Supply (5yr)'!AS36</f>
        <v/>
      </c>
      <c r="AT4" s="159">
        <f>'Token Supply (5yr)'!AT36</f>
        <v/>
      </c>
      <c r="AU4" s="159">
        <f>'Token Supply (5yr)'!AU36</f>
        <v/>
      </c>
      <c r="AV4" s="159">
        <f>'Token Supply (5yr)'!AV36</f>
        <v/>
      </c>
      <c r="AW4" s="159">
        <f>'Token Supply (5yr)'!AW36</f>
        <v/>
      </c>
      <c r="AX4" s="159">
        <f>'Token Supply (5yr)'!AX36</f>
        <v/>
      </c>
      <c r="AY4" s="159">
        <f>'Token Supply (5yr)'!AY36</f>
        <v/>
      </c>
      <c r="AZ4" s="159">
        <f>'Token Supply (5yr)'!AZ36</f>
        <v/>
      </c>
      <c r="BA4" s="159">
        <f>'Token Supply (5yr)'!BA36</f>
        <v/>
      </c>
      <c r="BB4" s="159">
        <f>'Token Supply (5yr)'!BB36</f>
        <v/>
      </c>
      <c r="BC4" s="159">
        <f>'Token Supply (5yr)'!BC36</f>
        <v/>
      </c>
      <c r="BD4" s="159">
        <f>'Token Supply (5yr)'!BD36</f>
        <v/>
      </c>
      <c r="BE4" s="159">
        <f>'Token Supply (5yr)'!BE36</f>
        <v/>
      </c>
      <c r="BF4" s="159">
        <f>'Token Supply (5yr)'!BF36</f>
        <v/>
      </c>
      <c r="BG4" s="159">
        <f>'Token Supply (5yr)'!BG36</f>
        <v/>
      </c>
      <c r="BH4" s="159">
        <f>'Token Supply (5yr)'!BH36</f>
        <v/>
      </c>
      <c r="BI4" s="176">
        <f>'Token Supply (5yr)'!BI36</f>
        <v/>
      </c>
    </row>
    <row r="5">
      <c r="A5" s="38" t="inlineStr">
        <is>
          <t>Total Unlocked Supply - Cumulative ($)</t>
        </is>
      </c>
      <c r="B5" s="117" t="n">
        <v>0</v>
      </c>
      <c r="C5" s="117" t="n">
        <v>0</v>
      </c>
      <c r="D5" s="117" t="n">
        <v>0</v>
      </c>
      <c r="E5" s="117" t="n">
        <v>0</v>
      </c>
      <c r="F5" s="117" t="n">
        <v>0</v>
      </c>
      <c r="G5" s="133">
        <f>G3*XAUconfig!G3</f>
        <v/>
      </c>
      <c r="H5" s="133">
        <f>H3*XAUconfig!H3</f>
        <v/>
      </c>
      <c r="I5" s="133">
        <f>I3*XAUconfig!I3</f>
        <v/>
      </c>
      <c r="J5" s="133">
        <f>J3*XAUconfig!J3</f>
        <v/>
      </c>
      <c r="K5" s="133">
        <f>K3*XAUconfig!K3</f>
        <v/>
      </c>
      <c r="L5" s="133">
        <f>L3*XAUconfig!L3</f>
        <v/>
      </c>
      <c r="M5" s="133">
        <f>M3*XAUconfig!M3</f>
        <v/>
      </c>
      <c r="N5" s="133">
        <f>N3*XAUconfig!N3</f>
        <v/>
      </c>
      <c r="O5" s="133">
        <f>O3*XAUconfig!O3</f>
        <v/>
      </c>
      <c r="P5" s="133">
        <f>P3*XAUconfig!P3</f>
        <v/>
      </c>
      <c r="Q5" s="133">
        <f>Q3*XAUconfig!Q3</f>
        <v/>
      </c>
      <c r="R5" s="133">
        <f>R3*XAUconfig!R3</f>
        <v/>
      </c>
      <c r="S5" s="133">
        <f>S3*XAUconfig!S3</f>
        <v/>
      </c>
      <c r="T5" s="133">
        <f>T3*XAUconfig!T3</f>
        <v/>
      </c>
      <c r="U5" s="133">
        <f>U3*XAUconfig!U3</f>
        <v/>
      </c>
      <c r="V5" s="133">
        <f>V3*XAUconfig!V3</f>
        <v/>
      </c>
      <c r="W5" s="133">
        <f>W3*XAUconfig!W3</f>
        <v/>
      </c>
      <c r="X5" s="133">
        <f>X3*XAUconfig!X3</f>
        <v/>
      </c>
      <c r="Y5" s="133">
        <f>Y3*XAUconfig!Y3</f>
        <v/>
      </c>
      <c r="Z5" s="133">
        <f>Z3*XAUconfig!Z3</f>
        <v/>
      </c>
      <c r="AA5" s="133">
        <f>AA3*XAUconfig!AA3</f>
        <v/>
      </c>
      <c r="AB5" s="133">
        <f>AB3*XAUconfig!AB3</f>
        <v/>
      </c>
      <c r="AC5" s="133">
        <f>AC3*XAUconfig!AC3</f>
        <v/>
      </c>
      <c r="AD5" s="133">
        <f>AD3*XAUconfig!AD3</f>
        <v/>
      </c>
      <c r="AE5" s="133">
        <f>AE3*XAUconfig!AE3</f>
        <v/>
      </c>
      <c r="AF5" s="133">
        <f>AF3*XAUconfig!AF3</f>
        <v/>
      </c>
      <c r="AG5" s="133">
        <f>AG3*XAUconfig!AG3</f>
        <v/>
      </c>
      <c r="AH5" s="133">
        <f>AH3*XAUconfig!AH3</f>
        <v/>
      </c>
      <c r="AI5" s="133">
        <f>AI3*XAUconfig!AI3</f>
        <v/>
      </c>
      <c r="AJ5" s="133">
        <f>AJ3*XAUconfig!AJ3</f>
        <v/>
      </c>
      <c r="AK5" s="133">
        <f>AK3*XAUconfig!AK3</f>
        <v/>
      </c>
      <c r="AL5" s="133">
        <f>AL3*XAUconfig!AL3</f>
        <v/>
      </c>
      <c r="AM5" s="133">
        <f>AM3*XAUconfig!AM3</f>
        <v/>
      </c>
      <c r="AN5" s="133">
        <f>AN3*XAUconfig!AN3</f>
        <v/>
      </c>
      <c r="AO5" s="133">
        <f>AO3*XAUconfig!AO3</f>
        <v/>
      </c>
      <c r="AP5" s="133">
        <f>AP3*XAUconfig!AP3</f>
        <v/>
      </c>
      <c r="AQ5" s="133">
        <f>AQ3*XAUconfig!AQ3</f>
        <v/>
      </c>
      <c r="AR5" s="133">
        <f>AR3*XAUconfig!AR3</f>
        <v/>
      </c>
      <c r="AS5" s="133">
        <f>AS3*XAUconfig!AS3</f>
        <v/>
      </c>
      <c r="AT5" s="133">
        <f>AT3*XAUconfig!AT3</f>
        <v/>
      </c>
      <c r="AU5" s="133">
        <f>AU3*XAUconfig!AU3</f>
        <v/>
      </c>
      <c r="AV5" s="133">
        <f>AV3*XAUconfig!AV3</f>
        <v/>
      </c>
      <c r="AW5" s="133">
        <f>AW3*XAUconfig!AW3</f>
        <v/>
      </c>
      <c r="AX5" s="133">
        <f>AX3*XAUconfig!AX3</f>
        <v/>
      </c>
      <c r="AY5" s="133">
        <f>AY3*XAUconfig!AY3</f>
        <v/>
      </c>
      <c r="AZ5" s="133">
        <f>AZ3*XAUconfig!AZ3</f>
        <v/>
      </c>
      <c r="BA5" s="133">
        <f>BA3*XAUconfig!BA3</f>
        <v/>
      </c>
      <c r="BB5" s="133">
        <f>BB3*XAUconfig!BB3</f>
        <v/>
      </c>
      <c r="BC5" s="133">
        <f>BC3*XAUconfig!BC3</f>
        <v/>
      </c>
      <c r="BD5" s="133">
        <f>BD3*XAUconfig!BD3</f>
        <v/>
      </c>
      <c r="BE5" s="133">
        <f>BE3*XAUconfig!BE3</f>
        <v/>
      </c>
      <c r="BF5" s="133">
        <f>BF3*XAUconfig!BF3</f>
        <v/>
      </c>
      <c r="BG5" s="133">
        <f>BG3*XAUconfig!BG3</f>
        <v/>
      </c>
      <c r="BH5" s="133">
        <f>BH3*XAUconfig!BH3</f>
        <v/>
      </c>
      <c r="BI5" s="135">
        <f>BI3*XAUconfig!BI3</f>
        <v/>
      </c>
    </row>
    <row r="6">
      <c r="A6" s="45" t="inlineStr">
        <is>
          <t>Total Circulating Supply - Cumulative ($)</t>
        </is>
      </c>
      <c r="B6" s="137" t="n">
        <v>0</v>
      </c>
      <c r="C6" s="137" t="n">
        <v>0</v>
      </c>
      <c r="D6" s="137" t="n">
        <v>0</v>
      </c>
      <c r="E6" s="137" t="n">
        <v>0</v>
      </c>
      <c r="F6" s="137" t="n">
        <v>0</v>
      </c>
      <c r="G6" s="139" t="n">
        <v>0</v>
      </c>
      <c r="H6" s="139" t="n">
        <v>0</v>
      </c>
      <c r="I6" s="139" t="n">
        <v>0</v>
      </c>
      <c r="J6" s="139" t="n">
        <v>0</v>
      </c>
      <c r="K6" s="139">
        <f>K4*XAUconfig!K3</f>
        <v/>
      </c>
      <c r="L6" s="139">
        <f>L4*XAUconfig!L3</f>
        <v/>
      </c>
      <c r="M6" s="139">
        <f>M4*XAUconfig!M3</f>
        <v/>
      </c>
      <c r="N6" s="139">
        <f>N4*XAUconfig!N3</f>
        <v/>
      </c>
      <c r="O6" s="139">
        <f>O4*XAUconfig!O3</f>
        <v/>
      </c>
      <c r="P6" s="139">
        <f>P4*XAUconfig!P3</f>
        <v/>
      </c>
      <c r="Q6" s="139">
        <f>Q4*XAUconfig!Q3</f>
        <v/>
      </c>
      <c r="R6" s="139">
        <f>R4*XAUconfig!R3</f>
        <v/>
      </c>
      <c r="S6" s="139">
        <f>S4*XAUconfig!S3</f>
        <v/>
      </c>
      <c r="T6" s="139">
        <f>T4*XAUconfig!T3</f>
        <v/>
      </c>
      <c r="U6" s="139">
        <f>U4*XAUconfig!U3</f>
        <v/>
      </c>
      <c r="V6" s="139">
        <f>V4*XAUconfig!V3</f>
        <v/>
      </c>
      <c r="W6" s="139">
        <f>W4*XAUconfig!W3</f>
        <v/>
      </c>
      <c r="X6" s="139">
        <f>X4*XAUconfig!X3</f>
        <v/>
      </c>
      <c r="Y6" s="139">
        <f>Y4*XAUconfig!Y3</f>
        <v/>
      </c>
      <c r="Z6" s="139">
        <f>Z4*XAUconfig!Z3</f>
        <v/>
      </c>
      <c r="AA6" s="139">
        <f>AA4*XAUconfig!AA3</f>
        <v/>
      </c>
      <c r="AB6" s="139">
        <f>AB4*XAUconfig!AB3</f>
        <v/>
      </c>
      <c r="AC6" s="139">
        <f>AC4*XAUconfig!AC3</f>
        <v/>
      </c>
      <c r="AD6" s="139">
        <f>AD4*XAUconfig!AD3</f>
        <v/>
      </c>
      <c r="AE6" s="139">
        <f>AE4*XAUconfig!AE3</f>
        <v/>
      </c>
      <c r="AF6" s="139">
        <f>AF4*XAUconfig!AF3</f>
        <v/>
      </c>
      <c r="AG6" s="139">
        <f>AG4*XAUconfig!AG3</f>
        <v/>
      </c>
      <c r="AH6" s="139">
        <f>AH4*XAUconfig!AH3</f>
        <v/>
      </c>
      <c r="AI6" s="139">
        <f>AI4*XAUconfig!AI3</f>
        <v/>
      </c>
      <c r="AJ6" s="139">
        <f>AJ4*XAUconfig!AJ3</f>
        <v/>
      </c>
      <c r="AK6" s="139">
        <f>AK4*XAUconfig!AK3</f>
        <v/>
      </c>
      <c r="AL6" s="139">
        <f>AL4*XAUconfig!AL3</f>
        <v/>
      </c>
      <c r="AM6" s="139">
        <f>AM4*XAUconfig!AM3</f>
        <v/>
      </c>
      <c r="AN6" s="139">
        <f>AN4*XAUconfig!AN3</f>
        <v/>
      </c>
      <c r="AO6" s="139">
        <f>AO4*XAUconfig!AO3</f>
        <v/>
      </c>
      <c r="AP6" s="139">
        <f>AP4*XAUconfig!AP3</f>
        <v/>
      </c>
      <c r="AQ6" s="139">
        <f>AQ4*XAUconfig!AQ3</f>
        <v/>
      </c>
      <c r="AR6" s="139">
        <f>AR4*XAUconfig!AR3</f>
        <v/>
      </c>
      <c r="AS6" s="139">
        <f>AS4*XAUconfig!AS3</f>
        <v/>
      </c>
      <c r="AT6" s="139">
        <f>AT4*XAUconfig!AT3</f>
        <v/>
      </c>
      <c r="AU6" s="139">
        <f>AU4*XAUconfig!AU3</f>
        <v/>
      </c>
      <c r="AV6" s="139">
        <f>AV4*XAUconfig!AV3</f>
        <v/>
      </c>
      <c r="AW6" s="139">
        <f>AW4*XAUconfig!AW3</f>
        <v/>
      </c>
      <c r="AX6" s="139">
        <f>AX4*XAUconfig!AX3</f>
        <v/>
      </c>
      <c r="AY6" s="139">
        <f>AY4*XAUconfig!AY3</f>
        <v/>
      </c>
      <c r="AZ6" s="139">
        <f>AZ4*XAUconfig!AZ3</f>
        <v/>
      </c>
      <c r="BA6" s="139">
        <f>BA4*XAUconfig!BA3</f>
        <v/>
      </c>
      <c r="BB6" s="139">
        <f>BB4*XAUconfig!BB3</f>
        <v/>
      </c>
      <c r="BC6" s="139">
        <f>BC4*XAUconfig!BC3</f>
        <v/>
      </c>
      <c r="BD6" s="139">
        <f>BD4*XAUconfig!BD3</f>
        <v/>
      </c>
      <c r="BE6" s="139">
        <f>BE4*XAUconfig!BE3</f>
        <v/>
      </c>
      <c r="BF6" s="139">
        <f>BF4*XAUconfig!BF3</f>
        <v/>
      </c>
      <c r="BG6" s="139">
        <f>BG4*XAUconfig!BG3</f>
        <v/>
      </c>
      <c r="BH6" s="139">
        <f>BH4*XAUconfig!BH3</f>
        <v/>
      </c>
      <c r="BI6" s="177">
        <f>BI4*XAUconfig!BI3</f>
        <v/>
      </c>
    </row>
    <row r="7">
      <c r="A7" s="178" t="n"/>
      <c r="B7" s="178" t="n"/>
      <c r="C7" s="178" t="n"/>
      <c r="D7" s="178" t="n"/>
      <c r="E7" s="178" t="n"/>
      <c r="F7" s="178" t="n"/>
      <c r="G7" s="178" t="n"/>
      <c r="H7" s="179" t="n"/>
      <c r="I7" s="179" t="n"/>
      <c r="J7" s="179" t="n"/>
      <c r="K7" s="179" t="n"/>
      <c r="L7" s="179" t="n"/>
      <c r="M7" s="179" t="n"/>
      <c r="N7" s="179" t="n"/>
      <c r="O7" s="179" t="n"/>
      <c r="P7" s="179" t="n"/>
      <c r="Q7" s="179" t="n"/>
      <c r="R7" s="179" t="n"/>
      <c r="S7" s="179" t="n"/>
      <c r="T7" s="179" t="n"/>
      <c r="U7" s="179" t="n"/>
      <c r="V7" s="179" t="n"/>
      <c r="W7" s="180" t="n"/>
      <c r="X7" s="180" t="n"/>
      <c r="Y7" s="180" t="n"/>
      <c r="Z7" s="180" t="n"/>
      <c r="AA7" s="180" t="n"/>
      <c r="AB7" s="180" t="n"/>
      <c r="AC7" s="180" t="n"/>
      <c r="AD7" s="180" t="n"/>
      <c r="AE7" s="180" t="n"/>
      <c r="AF7" s="180" t="n"/>
      <c r="AG7" s="180" t="n"/>
      <c r="AH7" s="180" t="n"/>
      <c r="AI7" s="180" t="n"/>
      <c r="AJ7" s="180" t="n"/>
      <c r="AK7" s="180" t="n"/>
      <c r="AL7" s="180" t="n"/>
      <c r="AM7" s="180" t="n"/>
      <c r="AN7" s="180" t="n"/>
      <c r="AO7" s="180" t="n"/>
      <c r="AP7" s="180" t="n"/>
      <c r="AQ7" s="180" t="n"/>
      <c r="AR7" s="180" t="n"/>
      <c r="AS7" s="180" t="n"/>
      <c r="AT7" s="180" t="n"/>
      <c r="AU7" s="180" t="n"/>
      <c r="AV7" s="180" t="n"/>
      <c r="AW7" s="180" t="n"/>
      <c r="AX7" s="180" t="n"/>
      <c r="AY7" s="180" t="n"/>
      <c r="AZ7" s="180" t="n"/>
      <c r="BA7" s="180" t="n"/>
      <c r="BB7" s="180" t="n"/>
      <c r="BC7" s="180" t="n"/>
      <c r="BD7" s="180" t="n"/>
      <c r="BE7" s="180" t="n"/>
      <c r="BF7" s="180" t="n"/>
      <c r="BG7" s="180" t="n"/>
      <c r="BH7" s="180" t="n"/>
      <c r="BI7" s="180" t="n"/>
    </row>
    <row r="8">
      <c r="A8" s="36" t="inlineStr">
        <is>
          <t>RealGold Liquidity Supply</t>
        </is>
      </c>
      <c r="B8" s="94" t="n"/>
      <c r="C8" s="94" t="n"/>
      <c r="D8" s="94" t="n"/>
      <c r="E8" s="94" t="n"/>
      <c r="F8" s="94" t="n"/>
      <c r="G8" s="94" t="n"/>
      <c r="H8" s="181" t="n"/>
      <c r="I8" s="181" t="n"/>
      <c r="J8" s="181" t="n"/>
      <c r="K8" s="181" t="n"/>
      <c r="L8" s="181" t="n"/>
      <c r="M8" s="181" t="n"/>
      <c r="N8" s="181" t="n"/>
      <c r="O8" s="181" t="n"/>
      <c r="P8" s="181" t="n"/>
      <c r="Q8" s="181" t="n"/>
      <c r="R8" s="181" t="n"/>
      <c r="S8" s="181" t="n"/>
      <c r="T8" s="181" t="n"/>
      <c r="U8" s="181" t="n"/>
      <c r="V8" s="181" t="n"/>
      <c r="W8" s="78" t="n"/>
      <c r="X8" s="78" t="n"/>
      <c r="Y8" s="78" t="n"/>
      <c r="Z8" s="78" t="n"/>
      <c r="AA8" s="78" t="n"/>
      <c r="AB8" s="78" t="n"/>
      <c r="AC8" s="78" t="n"/>
      <c r="AD8" s="78" t="n"/>
      <c r="AE8" s="78" t="n"/>
      <c r="AF8" s="78" t="n"/>
      <c r="AG8" s="78" t="n"/>
      <c r="AH8" s="78" t="n"/>
      <c r="AI8" s="78" t="n"/>
      <c r="AJ8" s="78" t="n"/>
      <c r="AK8" s="78" t="n"/>
      <c r="AL8" s="78" t="n"/>
      <c r="AM8" s="78" t="n"/>
      <c r="AN8" s="78" t="n"/>
      <c r="AO8" s="78" t="n"/>
      <c r="AP8" s="78" t="n"/>
      <c r="AQ8" s="78" t="n"/>
      <c r="AR8" s="78" t="n"/>
      <c r="AS8" s="78" t="n"/>
      <c r="AT8" s="78" t="n"/>
      <c r="AU8" s="78" t="n"/>
      <c r="AV8" s="78" t="n"/>
      <c r="AW8" s="78" t="n"/>
      <c r="AX8" s="78" t="n"/>
      <c r="AY8" s="78" t="n"/>
      <c r="AZ8" s="78" t="n"/>
      <c r="BA8" s="78" t="n"/>
      <c r="BB8" s="78" t="n"/>
      <c r="BC8" s="78" t="n"/>
      <c r="BD8" s="78" t="n"/>
      <c r="BE8" s="78" t="n"/>
      <c r="BF8" s="78" t="n"/>
      <c r="BG8" s="78" t="n"/>
      <c r="BH8" s="78" t="n"/>
      <c r="BI8" s="143" t="n"/>
    </row>
    <row r="9">
      <c r="A9" s="38" t="inlineStr">
        <is>
          <t>RealGold "Leased" Liquidity Supply (oz)</t>
        </is>
      </c>
      <c r="B9" s="117" t="n">
        <v>0</v>
      </c>
      <c r="C9" s="117" t="n">
        <v>0</v>
      </c>
      <c r="D9" s="117" t="n">
        <v>0</v>
      </c>
      <c r="E9" s="117" t="n">
        <v>0</v>
      </c>
      <c r="F9" s="117" t="n">
        <v>0</v>
      </c>
      <c r="G9" s="117" t="n">
        <v>0</v>
      </c>
      <c r="H9" s="117" t="n">
        <v>0</v>
      </c>
      <c r="I9" s="117" t="n">
        <v>0</v>
      </c>
      <c r="J9" s="87">
        <f>'Mine Inventory'!W2</f>
        <v/>
      </c>
      <c r="K9" s="87">
        <f>J9</f>
        <v/>
      </c>
      <c r="L9" s="87">
        <f>J9+'Mine Inventory'!W3</f>
        <v/>
      </c>
      <c r="M9" s="87">
        <f>J9+'Mine Inventory'!W3</f>
        <v/>
      </c>
      <c r="N9" s="159">
        <f>M9+'Mine Inventory'!W4</f>
        <v/>
      </c>
      <c r="O9" s="159">
        <f>M9+'Mine Inventory'!W4</f>
        <v/>
      </c>
      <c r="P9" s="159">
        <f>M9+'Mine Inventory'!W4</f>
        <v/>
      </c>
      <c r="Q9" s="159">
        <f>P9+'Mine Inventory'!W5</f>
        <v/>
      </c>
      <c r="R9" s="159">
        <f>P9+'Mine Inventory'!W5</f>
        <v/>
      </c>
      <c r="S9" s="159">
        <f>P9+'Mine Inventory'!W5</f>
        <v/>
      </c>
      <c r="T9" s="159">
        <f>S9+'Mine Inventory'!W6</f>
        <v/>
      </c>
      <c r="U9" s="159">
        <f>S9+'Mine Inventory'!W6</f>
        <v/>
      </c>
      <c r="V9" s="159">
        <f>S9+'Mine Inventory'!W6</f>
        <v/>
      </c>
      <c r="W9" s="159">
        <f>S9+'Mine Inventory'!W6</f>
        <v/>
      </c>
      <c r="X9" s="159">
        <f>S9+'Mine Inventory'!W6</f>
        <v/>
      </c>
      <c r="Y9" s="159">
        <f>X9+'Mine Inventory'!W7</f>
        <v/>
      </c>
      <c r="Z9" s="159">
        <f>X9+'Mine Inventory'!W7</f>
        <v/>
      </c>
      <c r="AA9" s="159">
        <f>X9+'Mine Inventory'!W7</f>
        <v/>
      </c>
      <c r="AB9" s="159">
        <f>AA9+'Mine Inventory'!W8</f>
        <v/>
      </c>
      <c r="AC9" s="159">
        <f>AA9+'Mine Inventory'!W8</f>
        <v/>
      </c>
      <c r="AD9" s="159">
        <f>AA9+'Mine Inventory'!W8</f>
        <v/>
      </c>
      <c r="AE9" s="159">
        <f>AA9+'Mine Inventory'!W8</f>
        <v/>
      </c>
      <c r="AF9" s="159">
        <f>AA9+'Mine Inventory'!W8</f>
        <v/>
      </c>
      <c r="AG9" s="159">
        <f>AF9+'Mine Inventory'!W10</f>
        <v/>
      </c>
      <c r="AH9" s="159">
        <f>AF9+'Mine Inventory'!W10</f>
        <v/>
      </c>
      <c r="AI9" s="159">
        <f>AF9+'Mine Inventory'!W10</f>
        <v/>
      </c>
      <c r="AJ9" s="159">
        <f>AI9+'Mine Inventory'!W9</f>
        <v/>
      </c>
      <c r="AK9" s="159">
        <f>AI9+'Mine Inventory'!W9</f>
        <v/>
      </c>
      <c r="AL9" s="159">
        <f>AI9+'Mine Inventory'!W9</f>
        <v/>
      </c>
      <c r="AM9" s="159">
        <f>AL9+'Mine Inventory'!W11</f>
        <v/>
      </c>
      <c r="AN9" s="159">
        <f>AL9+'Mine Inventory'!W11</f>
        <v/>
      </c>
      <c r="AO9" s="159">
        <f>AL9+'Mine Inventory'!W11</f>
        <v/>
      </c>
      <c r="AP9" s="159">
        <f>AO9+'Mine Inventory'!W12</f>
        <v/>
      </c>
      <c r="AQ9" s="159">
        <f>AO9+'Mine Inventory'!W12</f>
        <v/>
      </c>
      <c r="AR9" s="159">
        <f>AO9+'Mine Inventory'!W12</f>
        <v/>
      </c>
      <c r="AS9" s="159">
        <f>AO9+'Mine Inventory'!W12</f>
        <v/>
      </c>
      <c r="AT9" s="159">
        <f>AO9+'Mine Inventory'!W12</f>
        <v/>
      </c>
      <c r="AU9" s="159">
        <f>AT9+'Mine Inventory'!W13</f>
        <v/>
      </c>
      <c r="AV9" s="159">
        <f>AT9+'Mine Inventory'!W13</f>
        <v/>
      </c>
      <c r="AW9" s="159">
        <f>AT9+'Mine Inventory'!W13</f>
        <v/>
      </c>
      <c r="AX9" s="159">
        <f>AT9+'Mine Inventory'!W13</f>
        <v/>
      </c>
      <c r="AY9" s="159">
        <f>AT9+'Mine Inventory'!W13</f>
        <v/>
      </c>
      <c r="AZ9" s="159">
        <f>AT9+'Mine Inventory'!W13</f>
        <v/>
      </c>
      <c r="BA9" s="159">
        <f>AT9+'Mine Inventory'!W13</f>
        <v/>
      </c>
      <c r="BB9" s="159">
        <f>AT9+'Mine Inventory'!W13</f>
        <v/>
      </c>
      <c r="BC9" s="159">
        <f>AT9+'Mine Inventory'!W13</f>
        <v/>
      </c>
      <c r="BD9" s="159">
        <f>AT9+'Mine Inventory'!W13</f>
        <v/>
      </c>
      <c r="BE9" s="159">
        <f>AT9+'Mine Inventory'!W13</f>
        <v/>
      </c>
      <c r="BF9" s="159">
        <f>AT9+'Mine Inventory'!W13</f>
        <v/>
      </c>
      <c r="BG9" s="159">
        <f>AT9+'Mine Inventory'!W13</f>
        <v/>
      </c>
      <c r="BH9" s="159">
        <f>AT9+'Mine Inventory'!W13</f>
        <v/>
      </c>
      <c r="BI9" s="176">
        <f>AT9+'Mine Inventory'!W13</f>
        <v/>
      </c>
    </row>
    <row r="10">
      <c r="A10" s="38" t="inlineStr">
        <is>
          <t>Total RealGold Liquidity Locked (oz)</t>
        </is>
      </c>
      <c r="B10" s="117" t="n">
        <v>0</v>
      </c>
      <c r="C10" s="117" t="n">
        <v>0</v>
      </c>
      <c r="D10" s="117" t="n">
        <v>0</v>
      </c>
      <c r="E10" s="117" t="n">
        <v>0</v>
      </c>
      <c r="F10" s="117" t="n">
        <v>0</v>
      </c>
      <c r="G10" s="117" t="n">
        <v>0</v>
      </c>
      <c r="H10" s="117" t="n">
        <v>0</v>
      </c>
      <c r="I10" s="117" t="n">
        <v>0</v>
      </c>
      <c r="J10" s="117" t="n">
        <v>0</v>
      </c>
      <c r="K10" s="117" t="n">
        <v>0</v>
      </c>
      <c r="L10" s="117" t="n">
        <v>0</v>
      </c>
      <c r="M10" s="117" t="n">
        <v>0</v>
      </c>
      <c r="N10" s="159">
        <f>N12/XAUconfig!N3</f>
        <v/>
      </c>
      <c r="O10" s="159">
        <f>O12/XAUconfig!O3</f>
        <v/>
      </c>
      <c r="P10" s="159">
        <f>P12/XAUconfig!P3</f>
        <v/>
      </c>
      <c r="Q10" s="159">
        <f>Q12/XAUconfig!Q3</f>
        <v/>
      </c>
      <c r="R10" s="159">
        <f>R12/XAUconfig!R3</f>
        <v/>
      </c>
      <c r="S10" s="159">
        <f>S12/XAUconfig!S3</f>
        <v/>
      </c>
      <c r="T10" s="159">
        <f>T12/XAUconfig!T3</f>
        <v/>
      </c>
      <c r="U10" s="159">
        <f>U12/XAUconfig!U3</f>
        <v/>
      </c>
      <c r="V10" s="159">
        <f>V12/XAUconfig!V3</f>
        <v/>
      </c>
      <c r="W10" s="159">
        <f>W12/XAUconfig!W3</f>
        <v/>
      </c>
      <c r="X10" s="159">
        <f>X12/XAUconfig!X3</f>
        <v/>
      </c>
      <c r="Y10" s="159">
        <f>Y12/XAUconfig!Y3</f>
        <v/>
      </c>
      <c r="Z10" s="159">
        <f>Z12/XAUconfig!Z3</f>
        <v/>
      </c>
      <c r="AA10" s="159">
        <f>AA12/XAUconfig!AA3</f>
        <v/>
      </c>
      <c r="AB10" s="159">
        <f>AB12/XAUconfig!AB3</f>
        <v/>
      </c>
      <c r="AC10" s="159">
        <f>AC12/XAUconfig!AC3</f>
        <v/>
      </c>
      <c r="AD10" s="159">
        <f>AD12/XAUconfig!AD3</f>
        <v/>
      </c>
      <c r="AE10" s="159">
        <f>AE12/XAUconfig!AE3</f>
        <v/>
      </c>
      <c r="AF10" s="159">
        <f>AF12/XAUconfig!AF3</f>
        <v/>
      </c>
      <c r="AG10" s="159">
        <f>AG12/XAUconfig!AG3</f>
        <v/>
      </c>
      <c r="AH10" s="159">
        <f>AH12/XAUconfig!AH3</f>
        <v/>
      </c>
      <c r="AI10" s="159">
        <f>AI12/XAUconfig!AI3</f>
        <v/>
      </c>
      <c r="AJ10" s="159">
        <f>AJ12/XAUconfig!AJ3</f>
        <v/>
      </c>
      <c r="AK10" s="159">
        <f>AK12/XAUconfig!AK3</f>
        <v/>
      </c>
      <c r="AL10" s="159">
        <f>AL12/XAUconfig!AL3</f>
        <v/>
      </c>
      <c r="AM10" s="159">
        <f>AM12/XAUconfig!AM3</f>
        <v/>
      </c>
      <c r="AN10" s="159">
        <f>AN12/XAUconfig!AN3</f>
        <v/>
      </c>
      <c r="AO10" s="159">
        <f>AO12/XAUconfig!AO3</f>
        <v/>
      </c>
      <c r="AP10" s="159">
        <f>AP12/XAUconfig!AP3</f>
        <v/>
      </c>
      <c r="AQ10" s="159">
        <f>AQ12/XAUconfig!AQ3</f>
        <v/>
      </c>
      <c r="AR10" s="159">
        <f>AR12/XAUconfig!AR3</f>
        <v/>
      </c>
      <c r="AS10" s="159">
        <f>AS12/XAUconfig!AS3</f>
        <v/>
      </c>
      <c r="AT10" s="159">
        <f>AT12/XAUconfig!AT3</f>
        <v/>
      </c>
      <c r="AU10" s="159">
        <f>AU12/XAUconfig!AU3</f>
        <v/>
      </c>
      <c r="AV10" s="159">
        <f>AV12/XAUconfig!AV3</f>
        <v/>
      </c>
      <c r="AW10" s="159">
        <f>AW12/XAUconfig!AW3</f>
        <v/>
      </c>
      <c r="AX10" s="159">
        <f>AX12/XAUconfig!AX3</f>
        <v/>
      </c>
      <c r="AY10" s="159">
        <f>AY12/XAUconfig!AY3</f>
        <v/>
      </c>
      <c r="AZ10" s="159">
        <f>AZ12/XAUconfig!AZ3</f>
        <v/>
      </c>
      <c r="BA10" s="159">
        <f>BA12/XAUconfig!BA3</f>
        <v/>
      </c>
      <c r="BB10" s="159">
        <f>BB12/XAUconfig!BB3</f>
        <v/>
      </c>
      <c r="BC10" s="159">
        <f>BC12/XAUconfig!BC3</f>
        <v/>
      </c>
      <c r="BD10" s="159">
        <f>BD12/XAUconfig!BD3</f>
        <v/>
      </c>
      <c r="BE10" s="159">
        <f>BE12/XAUconfig!BE3</f>
        <v/>
      </c>
      <c r="BF10" s="159">
        <f>BF12/XAUconfig!BF3</f>
        <v/>
      </c>
      <c r="BG10" s="159">
        <f>BG12/XAUconfig!BG3</f>
        <v/>
      </c>
      <c r="BH10" s="159">
        <f>BH12/XAUconfig!BH3</f>
        <v/>
      </c>
      <c r="BI10" s="176">
        <f>BI12/XAUconfig!BI3</f>
        <v/>
      </c>
    </row>
    <row r="11">
      <c r="A11" s="38" t="inlineStr">
        <is>
          <t>RealGold "Leased" Liquidity Supply ($)</t>
        </is>
      </c>
      <c r="B11" s="117" t="n">
        <v>0</v>
      </c>
      <c r="C11" s="117" t="n">
        <v>0</v>
      </c>
      <c r="D11" s="117" t="n">
        <v>0</v>
      </c>
      <c r="E11" s="117" t="n">
        <v>0</v>
      </c>
      <c r="F11" s="117" t="n">
        <v>0</v>
      </c>
      <c r="G11" s="117" t="n">
        <v>0</v>
      </c>
      <c r="H11" s="117" t="n">
        <v>0</v>
      </c>
      <c r="I11" s="117" t="n">
        <v>0</v>
      </c>
      <c r="J11" s="117" t="n">
        <v>0</v>
      </c>
      <c r="K11" s="117" t="n">
        <v>0</v>
      </c>
      <c r="L11" s="117" t="n">
        <v>0</v>
      </c>
      <c r="M11" s="117" t="n">
        <v>0</v>
      </c>
      <c r="N11" s="133">
        <f>N9*XAUconfig!N3</f>
        <v/>
      </c>
      <c r="O11" s="133">
        <f>O9*XAUconfig!O3</f>
        <v/>
      </c>
      <c r="P11" s="133">
        <f>P9*XAUconfig!P3</f>
        <v/>
      </c>
      <c r="Q11" s="133">
        <f>Q9*XAUconfig!Q3</f>
        <v/>
      </c>
      <c r="R11" s="133">
        <f>R9*XAUconfig!R3</f>
        <v/>
      </c>
      <c r="S11" s="133">
        <f>S9*XAUconfig!S3</f>
        <v/>
      </c>
      <c r="T11" s="133">
        <f>T9*XAUconfig!T3</f>
        <v/>
      </c>
      <c r="U11" s="133">
        <f>U9*XAUconfig!U3</f>
        <v/>
      </c>
      <c r="V11" s="133">
        <f>V9*XAUconfig!V3</f>
        <v/>
      </c>
      <c r="W11" s="133">
        <f>W9*XAUconfig!W3</f>
        <v/>
      </c>
      <c r="X11" s="133">
        <f>X9*XAUconfig!X3</f>
        <v/>
      </c>
      <c r="Y11" s="133">
        <f>Y9*XAUconfig!Y3</f>
        <v/>
      </c>
      <c r="Z11" s="133">
        <f>Z9*XAUconfig!Z3</f>
        <v/>
      </c>
      <c r="AA11" s="133">
        <f>AA9*XAUconfig!AA3</f>
        <v/>
      </c>
      <c r="AB11" s="133">
        <f>AB9*XAUconfig!AB3</f>
        <v/>
      </c>
      <c r="AC11" s="133">
        <f>AC9*XAUconfig!AC3</f>
        <v/>
      </c>
      <c r="AD11" s="133">
        <f>AD9*XAUconfig!AD3</f>
        <v/>
      </c>
      <c r="AE11" s="133">
        <f>AE9*XAUconfig!AE3</f>
        <v/>
      </c>
      <c r="AF11" s="133">
        <f>AF9*XAUconfig!AF3</f>
        <v/>
      </c>
      <c r="AG11" s="133">
        <f>AG9*XAUconfig!AG3</f>
        <v/>
      </c>
      <c r="AH11" s="133">
        <f>AH9*XAUconfig!AH3</f>
        <v/>
      </c>
      <c r="AI11" s="133">
        <f>AI9*XAUconfig!AI3</f>
        <v/>
      </c>
      <c r="AJ11" s="133">
        <f>AJ9*XAUconfig!AJ3</f>
        <v/>
      </c>
      <c r="AK11" s="133">
        <f>AK9*XAUconfig!AK3</f>
        <v/>
      </c>
      <c r="AL11" s="133">
        <f>AL9*XAUconfig!AL3</f>
        <v/>
      </c>
      <c r="AM11" s="133">
        <f>AM9*XAUconfig!AM3</f>
        <v/>
      </c>
      <c r="AN11" s="133">
        <f>AN9*XAUconfig!AN3</f>
        <v/>
      </c>
      <c r="AO11" s="133">
        <f>AO9*XAUconfig!AO3</f>
        <v/>
      </c>
      <c r="AP11" s="133">
        <f>AP9*XAUconfig!AP3</f>
        <v/>
      </c>
      <c r="AQ11" s="133">
        <f>AQ9*XAUconfig!AQ3</f>
        <v/>
      </c>
      <c r="AR11" s="133">
        <f>AR9*XAUconfig!AR3</f>
        <v/>
      </c>
      <c r="AS11" s="133">
        <f>AS9*XAUconfig!AS3</f>
        <v/>
      </c>
      <c r="AT11" s="133">
        <f>AT9*XAUconfig!AT3</f>
        <v/>
      </c>
      <c r="AU11" s="133">
        <f>AU9*XAUconfig!AU3</f>
        <v/>
      </c>
      <c r="AV11" s="133">
        <f>AV9*XAUconfig!AV3</f>
        <v/>
      </c>
      <c r="AW11" s="133">
        <f>AW9*XAUconfig!AW3</f>
        <v/>
      </c>
      <c r="AX11" s="133">
        <f>AX9*XAUconfig!AX3</f>
        <v/>
      </c>
      <c r="AY11" s="133">
        <f>AY9*XAUconfig!AY3</f>
        <v/>
      </c>
      <c r="AZ11" s="133">
        <f>AZ9*XAUconfig!AZ3</f>
        <v/>
      </c>
      <c r="BA11" s="133">
        <f>BA9*XAUconfig!BA3</f>
        <v/>
      </c>
      <c r="BB11" s="133">
        <f>BB9*XAUconfig!BB3</f>
        <v/>
      </c>
      <c r="BC11" s="133">
        <f>BC9*XAUconfig!BC3</f>
        <v/>
      </c>
      <c r="BD11" s="133">
        <f>BD9*XAUconfig!BD3</f>
        <v/>
      </c>
      <c r="BE11" s="133">
        <f>BE9*XAUconfig!BE3</f>
        <v/>
      </c>
      <c r="BF11" s="133">
        <f>BF9*XAUconfig!BF3</f>
        <v/>
      </c>
      <c r="BG11" s="133">
        <f>BG9*XAUconfig!BG3</f>
        <v/>
      </c>
      <c r="BH11" s="133">
        <f>BH9*XAUconfig!BH3</f>
        <v/>
      </c>
      <c r="BI11" s="135">
        <f>BI9*XAUconfig!BI3</f>
        <v/>
      </c>
    </row>
    <row r="12">
      <c r="A12" s="38" t="inlineStr">
        <is>
          <t>RealGold TVL Liquidity Locked ($)</t>
        </is>
      </c>
      <c r="B12" s="117" t="n">
        <v>0</v>
      </c>
      <c r="C12" s="117" t="n">
        <v>0</v>
      </c>
      <c r="D12" s="117" t="n">
        <v>0</v>
      </c>
      <c r="E12" s="117" t="n">
        <v>0</v>
      </c>
      <c r="F12" s="117" t="n">
        <v>0</v>
      </c>
      <c r="G12" s="117" t="n">
        <v>0</v>
      </c>
      <c r="H12" s="117" t="n">
        <v>0</v>
      </c>
      <c r="I12" s="117" t="n">
        <v>0</v>
      </c>
      <c r="J12" s="117" t="n">
        <v>0</v>
      </c>
      <c r="K12" s="117" t="n">
        <v>0</v>
      </c>
      <c r="L12" s="117" t="n">
        <v>0</v>
      </c>
      <c r="M12" s="117" t="n">
        <v>0</v>
      </c>
      <c r="N12" s="107" t="n">
        <v>2500000</v>
      </c>
      <c r="O12" s="107" t="n">
        <v>2500000</v>
      </c>
      <c r="P12" s="107" t="n">
        <v>2500000</v>
      </c>
      <c r="Q12" s="107" t="n">
        <v>2500000</v>
      </c>
      <c r="R12" s="107" t="n">
        <v>2500000</v>
      </c>
      <c r="S12" s="107" t="n">
        <v>2500000</v>
      </c>
      <c r="T12" s="107" t="n">
        <v>5000000</v>
      </c>
      <c r="U12" s="107" t="n">
        <v>5000000</v>
      </c>
      <c r="V12" s="107" t="n">
        <v>5000000</v>
      </c>
      <c r="W12" s="107" t="n">
        <v>5000000</v>
      </c>
      <c r="X12" s="107" t="n">
        <v>5000000</v>
      </c>
      <c r="Y12" s="107" t="n">
        <v>5000000</v>
      </c>
      <c r="Z12" s="124" t="n">
        <v>10000000</v>
      </c>
      <c r="AA12" s="124" t="n">
        <v>10000000</v>
      </c>
      <c r="AB12" s="124" t="n">
        <v>10000000</v>
      </c>
      <c r="AC12" s="124" t="n">
        <v>10000000</v>
      </c>
      <c r="AD12" s="124" t="n">
        <v>10000000</v>
      </c>
      <c r="AE12" s="124" t="n">
        <v>10000000</v>
      </c>
      <c r="AF12" s="124" t="n">
        <v>10000000</v>
      </c>
      <c r="AG12" s="124" t="n">
        <v>10000000</v>
      </c>
      <c r="AH12" s="124" t="n">
        <v>10000000</v>
      </c>
      <c r="AI12" s="124" t="n">
        <v>10000000</v>
      </c>
      <c r="AJ12" s="124" t="n">
        <v>10000000</v>
      </c>
      <c r="AK12" s="124" t="n">
        <v>10000000</v>
      </c>
      <c r="AL12" s="124" t="n">
        <v>15000000</v>
      </c>
      <c r="AM12" s="124" t="n">
        <v>15000000</v>
      </c>
      <c r="AN12" s="124" t="n">
        <v>15000000</v>
      </c>
      <c r="AO12" s="124" t="n">
        <v>15000000</v>
      </c>
      <c r="AP12" s="124" t="n">
        <v>15000000</v>
      </c>
      <c r="AQ12" s="124" t="n">
        <v>15000000</v>
      </c>
      <c r="AR12" s="124" t="n">
        <v>15000000</v>
      </c>
      <c r="AS12" s="124" t="n">
        <v>15000000</v>
      </c>
      <c r="AT12" s="124" t="n">
        <v>15000000</v>
      </c>
      <c r="AU12" s="124" t="n">
        <v>15000000</v>
      </c>
      <c r="AV12" s="124" t="n">
        <v>15000000</v>
      </c>
      <c r="AW12" s="124" t="n">
        <v>15000000</v>
      </c>
      <c r="AX12" s="124" t="n">
        <v>15000000</v>
      </c>
      <c r="AY12" s="124" t="n">
        <v>15000000</v>
      </c>
      <c r="AZ12" s="124" t="n">
        <v>15000000</v>
      </c>
      <c r="BA12" s="124" t="n">
        <v>15000000</v>
      </c>
      <c r="BB12" s="124" t="n">
        <v>15000000</v>
      </c>
      <c r="BC12" s="124" t="n">
        <v>15000000</v>
      </c>
      <c r="BD12" s="124" t="n">
        <v>15000000</v>
      </c>
      <c r="BE12" s="124" t="n">
        <v>15000000</v>
      </c>
      <c r="BF12" s="124" t="n">
        <v>15000000</v>
      </c>
      <c r="BG12" s="124" t="n">
        <v>15000000</v>
      </c>
      <c r="BH12" s="124" t="n">
        <v>15000000</v>
      </c>
      <c r="BI12" s="182" t="n">
        <v>15000000</v>
      </c>
    </row>
    <row r="13">
      <c r="A13" s="38" t="inlineStr">
        <is>
          <t>Trading Pairs TVL Liquidity for LPs ($)</t>
        </is>
      </c>
      <c r="B13" s="117" t="n">
        <v>0</v>
      </c>
      <c r="C13" s="117" t="n">
        <v>0</v>
      </c>
      <c r="D13" s="117" t="n">
        <v>0</v>
      </c>
      <c r="E13" s="117" t="n">
        <v>0</v>
      </c>
      <c r="F13" s="117" t="n">
        <v>0</v>
      </c>
      <c r="G13" s="117" t="n">
        <v>0</v>
      </c>
      <c r="H13" s="117" t="n">
        <v>0</v>
      </c>
      <c r="I13" s="117" t="n">
        <v>0</v>
      </c>
      <c r="J13" s="117" t="n">
        <v>0</v>
      </c>
      <c r="K13" s="117" t="n">
        <v>0</v>
      </c>
      <c r="L13" s="117" t="n">
        <v>0</v>
      </c>
      <c r="M13" s="117" t="n">
        <v>0</v>
      </c>
      <c r="N13" s="107" t="n">
        <v>2500000</v>
      </c>
      <c r="O13" s="107" t="n">
        <v>2500000</v>
      </c>
      <c r="P13" s="107" t="n">
        <v>2500000</v>
      </c>
      <c r="Q13" s="107" t="n">
        <v>2500000</v>
      </c>
      <c r="R13" s="107" t="n">
        <v>2500000</v>
      </c>
      <c r="S13" s="107" t="n">
        <v>2500000</v>
      </c>
      <c r="T13" s="107" t="n">
        <v>5000000</v>
      </c>
      <c r="U13" s="107" t="n">
        <v>5000000</v>
      </c>
      <c r="V13" s="107" t="n">
        <v>5000000</v>
      </c>
      <c r="W13" s="107" t="n">
        <v>5000000</v>
      </c>
      <c r="X13" s="107" t="n">
        <v>5000000</v>
      </c>
      <c r="Y13" s="107" t="n">
        <v>5000000</v>
      </c>
      <c r="Z13" s="124" t="n">
        <v>10000000</v>
      </c>
      <c r="AA13" s="124" t="n">
        <v>10000000</v>
      </c>
      <c r="AB13" s="124" t="n">
        <v>10000000</v>
      </c>
      <c r="AC13" s="124" t="n">
        <v>10000000</v>
      </c>
      <c r="AD13" s="124" t="n">
        <v>10000000</v>
      </c>
      <c r="AE13" s="124" t="n">
        <v>10000000</v>
      </c>
      <c r="AF13" s="124" t="n">
        <v>10000000</v>
      </c>
      <c r="AG13" s="124" t="n">
        <v>10000000</v>
      </c>
      <c r="AH13" s="124" t="n">
        <v>10000000</v>
      </c>
      <c r="AI13" s="124" t="n">
        <v>10000000</v>
      </c>
      <c r="AJ13" s="124" t="n">
        <v>10000000</v>
      </c>
      <c r="AK13" s="124" t="n">
        <v>10000000</v>
      </c>
      <c r="AL13" s="124" t="n">
        <v>15000000</v>
      </c>
      <c r="AM13" s="124" t="n">
        <v>15000000</v>
      </c>
      <c r="AN13" s="124" t="n">
        <v>15000000</v>
      </c>
      <c r="AO13" s="124" t="n">
        <v>15000000</v>
      </c>
      <c r="AP13" s="124" t="n">
        <v>15000000</v>
      </c>
      <c r="AQ13" s="124" t="n">
        <v>15000000</v>
      </c>
      <c r="AR13" s="124" t="n">
        <v>15000000</v>
      </c>
      <c r="AS13" s="124" t="n">
        <v>15000000</v>
      </c>
      <c r="AT13" s="124" t="n">
        <v>15000000</v>
      </c>
      <c r="AU13" s="124" t="n">
        <v>15000000</v>
      </c>
      <c r="AV13" s="124" t="n">
        <v>15000000</v>
      </c>
      <c r="AW13" s="124" t="n">
        <v>15000000</v>
      </c>
      <c r="AX13" s="124" t="n">
        <v>15000000</v>
      </c>
      <c r="AY13" s="124" t="n">
        <v>15000000</v>
      </c>
      <c r="AZ13" s="124" t="n">
        <v>15000000</v>
      </c>
      <c r="BA13" s="124" t="n">
        <v>15000000</v>
      </c>
      <c r="BB13" s="124" t="n">
        <v>15000000</v>
      </c>
      <c r="BC13" s="124" t="n">
        <v>15000000</v>
      </c>
      <c r="BD13" s="124" t="n">
        <v>15000000</v>
      </c>
      <c r="BE13" s="124" t="n">
        <v>15000000</v>
      </c>
      <c r="BF13" s="124" t="n">
        <v>15000000</v>
      </c>
      <c r="BG13" s="124" t="n">
        <v>15000000</v>
      </c>
      <c r="BH13" s="124" t="n">
        <v>15000000</v>
      </c>
      <c r="BI13" s="182" t="n">
        <v>15000000</v>
      </c>
    </row>
    <row r="14">
      <c r="A14" s="45" t="inlineStr">
        <is>
          <t>Total % Liquidity Provided by RealGold</t>
        </is>
      </c>
      <c r="B14" s="172" t="inlineStr">
        <is>
          <t>N/A</t>
        </is>
      </c>
      <c r="C14" s="172" t="inlineStr">
        <is>
          <t>N/A</t>
        </is>
      </c>
      <c r="D14" s="172" t="inlineStr">
        <is>
          <t>N/A</t>
        </is>
      </c>
      <c r="E14" s="172" t="inlineStr">
        <is>
          <t>N/A</t>
        </is>
      </c>
      <c r="F14" s="172" t="inlineStr">
        <is>
          <t>N/A</t>
        </is>
      </c>
      <c r="G14" s="172" t="inlineStr">
        <is>
          <t>N/A</t>
        </is>
      </c>
      <c r="H14" s="172" t="inlineStr">
        <is>
          <t>N/A</t>
        </is>
      </c>
      <c r="I14" s="172" t="inlineStr">
        <is>
          <t>N/A</t>
        </is>
      </c>
      <c r="J14" s="172" t="inlineStr">
        <is>
          <t>N/A</t>
        </is>
      </c>
      <c r="K14" s="172" t="inlineStr">
        <is>
          <t>N/A</t>
        </is>
      </c>
      <c r="L14" s="172" t="inlineStr">
        <is>
          <t>N/A</t>
        </is>
      </c>
      <c r="M14" s="172" t="inlineStr">
        <is>
          <t>N/A</t>
        </is>
      </c>
      <c r="N14" s="183" t="n">
        <v>0.5</v>
      </c>
      <c r="O14" s="183" t="n">
        <v>0.5</v>
      </c>
      <c r="P14" s="183" t="n">
        <v>0.5</v>
      </c>
      <c r="Q14" s="183" t="n">
        <v>0.5</v>
      </c>
      <c r="R14" s="183" t="n">
        <v>0.5</v>
      </c>
      <c r="S14" s="183" t="n">
        <v>0.5</v>
      </c>
      <c r="T14" s="183" t="n">
        <v>0.5</v>
      </c>
      <c r="U14" s="183" t="n">
        <v>0.5</v>
      </c>
      <c r="V14" s="183" t="n">
        <v>0.5</v>
      </c>
      <c r="W14" s="183" t="n">
        <v>0.5</v>
      </c>
      <c r="X14" s="183" t="n">
        <v>0.5</v>
      </c>
      <c r="Y14" s="183" t="n">
        <v>0.5</v>
      </c>
      <c r="Z14" s="183" t="n">
        <v>0.6</v>
      </c>
      <c r="AA14" s="183" t="n">
        <v>0.6</v>
      </c>
      <c r="AB14" s="183" t="n">
        <v>0.6</v>
      </c>
      <c r="AC14" s="183" t="n">
        <v>0.6</v>
      </c>
      <c r="AD14" s="183" t="n">
        <v>0.6</v>
      </c>
      <c r="AE14" s="183" t="n">
        <v>0.6</v>
      </c>
      <c r="AF14" s="183" t="n">
        <v>0.6</v>
      </c>
      <c r="AG14" s="183" t="n">
        <v>0.6</v>
      </c>
      <c r="AH14" s="183" t="n">
        <v>0.6</v>
      </c>
      <c r="AI14" s="183" t="n">
        <v>0.6</v>
      </c>
      <c r="AJ14" s="183" t="n">
        <v>0.6</v>
      </c>
      <c r="AK14" s="183" t="n">
        <v>0.6</v>
      </c>
      <c r="AL14" s="183" t="n">
        <v>0.7</v>
      </c>
      <c r="AM14" s="183" t="n">
        <v>0.7</v>
      </c>
      <c r="AN14" s="183" t="n">
        <v>0.7</v>
      </c>
      <c r="AO14" s="183" t="n">
        <v>0.7</v>
      </c>
      <c r="AP14" s="183" t="n">
        <v>0.7</v>
      </c>
      <c r="AQ14" s="183" t="n">
        <v>0.7</v>
      </c>
      <c r="AR14" s="183" t="n">
        <v>0.7</v>
      </c>
      <c r="AS14" s="183" t="n">
        <v>0.7</v>
      </c>
      <c r="AT14" s="183" t="n">
        <v>0.7</v>
      </c>
      <c r="AU14" s="183" t="n">
        <v>0.7</v>
      </c>
      <c r="AV14" s="183" t="n">
        <v>0.7</v>
      </c>
      <c r="AW14" s="183" t="n">
        <v>0.7</v>
      </c>
      <c r="AX14" s="183" t="n">
        <v>0.8</v>
      </c>
      <c r="AY14" s="183" t="n">
        <v>0.8</v>
      </c>
      <c r="AZ14" s="183" t="n">
        <v>0.8</v>
      </c>
      <c r="BA14" s="183" t="n">
        <v>0.8</v>
      </c>
      <c r="BB14" s="183" t="n">
        <v>0.8</v>
      </c>
      <c r="BC14" s="183" t="n">
        <v>0.8</v>
      </c>
      <c r="BD14" s="183" t="n">
        <v>0.8</v>
      </c>
      <c r="BE14" s="183" t="n">
        <v>0.8</v>
      </c>
      <c r="BF14" s="183" t="n">
        <v>0.8</v>
      </c>
      <c r="BG14" s="183" t="n">
        <v>0.8</v>
      </c>
      <c r="BH14" s="183" t="n">
        <v>0.8</v>
      </c>
      <c r="BI14" s="48" t="n">
        <v>0.8</v>
      </c>
    </row>
    <row r="15">
      <c r="A15" s="128" t="n"/>
      <c r="B15" s="128" t="n"/>
      <c r="C15" s="128" t="n"/>
      <c r="D15" s="128" t="n"/>
      <c r="E15" s="128" t="n"/>
      <c r="F15" s="128" t="n"/>
      <c r="G15" s="128" t="n"/>
      <c r="H15" s="220" t="n"/>
      <c r="I15" s="220" t="n"/>
      <c r="J15" s="220" t="n"/>
      <c r="K15" s="220" t="n"/>
      <c r="L15" s="220" t="n"/>
      <c r="M15" s="220" t="n"/>
      <c r="N15" s="220" t="n"/>
      <c r="O15" s="220" t="n"/>
      <c r="P15" s="220" t="n"/>
      <c r="Q15" s="220" t="n"/>
      <c r="R15" s="220" t="n"/>
      <c r="S15" s="220" t="n"/>
      <c r="T15" s="220" t="n"/>
      <c r="U15" s="220" t="n"/>
      <c r="V15" s="220" t="n"/>
      <c r="W15" s="289" t="n"/>
      <c r="X15" s="289" t="n"/>
      <c r="Y15" s="289" t="n"/>
      <c r="Z15" s="289" t="n"/>
      <c r="AA15" s="289" t="n"/>
      <c r="AB15" s="289" t="n"/>
      <c r="AC15" s="289" t="n"/>
      <c r="AD15" s="289" t="n"/>
      <c r="AE15" s="289" t="n"/>
      <c r="AF15" s="289" t="n"/>
      <c r="AG15" s="289" t="n"/>
      <c r="AH15" s="289" t="n"/>
      <c r="AI15" s="289" t="n"/>
      <c r="AJ15" s="289" t="n"/>
      <c r="AK15" s="289" t="n"/>
      <c r="AL15" s="289" t="n"/>
      <c r="AM15" s="289" t="n"/>
      <c r="AN15" s="289" t="n"/>
      <c r="AO15" s="289" t="n"/>
      <c r="AP15" s="289" t="n"/>
      <c r="AQ15" s="289" t="n"/>
      <c r="AR15" s="289" t="n"/>
      <c r="AS15" s="289" t="n"/>
      <c r="AT15" s="289" t="n"/>
      <c r="AU15" s="289" t="n"/>
      <c r="AV15" s="289" t="n"/>
      <c r="AW15" s="289" t="n"/>
      <c r="AX15" s="289" t="n"/>
      <c r="AY15" s="289" t="n"/>
      <c r="AZ15" s="289" t="n"/>
      <c r="BA15" s="289" t="n"/>
      <c r="BB15" s="289" t="n"/>
      <c r="BC15" s="289" t="n"/>
      <c r="BD15" s="289" t="n"/>
      <c r="BE15" s="289" t="n"/>
      <c r="BF15" s="289" t="n"/>
      <c r="BG15" s="289" t="n"/>
      <c r="BH15" s="289" t="n"/>
      <c r="BI15" s="289" t="n"/>
    </row>
    <row r="16">
      <c r="A16" s="36" t="inlineStr">
        <is>
          <t>DEX Markets</t>
        </is>
      </c>
      <c r="B16" s="94" t="n"/>
      <c r="C16" s="94" t="n"/>
      <c r="D16" s="94" t="n"/>
      <c r="E16" s="94" t="n"/>
      <c r="F16" s="94" t="n"/>
      <c r="G16" s="181" t="n"/>
      <c r="H16" s="181" t="n"/>
      <c r="I16" s="181" t="n"/>
      <c r="J16" s="181" t="n"/>
      <c r="K16" s="181" t="n"/>
      <c r="L16" s="181" t="n"/>
      <c r="M16" s="181" t="n"/>
      <c r="N16" s="181" t="n"/>
      <c r="O16" s="181" t="n"/>
      <c r="P16" s="181" t="n"/>
      <c r="Q16" s="181" t="n"/>
      <c r="R16" s="181" t="n"/>
      <c r="S16" s="181" t="n"/>
      <c r="T16" s="181" t="n"/>
      <c r="U16" s="181" t="n"/>
      <c r="V16" s="181" t="n"/>
      <c r="W16" s="78" t="n"/>
      <c r="X16" s="78" t="n"/>
      <c r="Y16" s="78" t="n"/>
      <c r="Z16" s="78" t="n"/>
      <c r="AA16" s="78" t="n"/>
      <c r="AB16" s="78" t="n"/>
      <c r="AC16" s="78" t="n"/>
      <c r="AD16" s="78" t="n"/>
      <c r="AE16" s="78" t="n"/>
      <c r="AF16" s="78" t="n"/>
      <c r="AG16" s="78" t="n"/>
      <c r="AH16" s="78" t="n"/>
      <c r="AI16" s="78" t="n"/>
      <c r="AJ16" s="78" t="n"/>
      <c r="AK16" s="78" t="n"/>
      <c r="AL16" s="78" t="n"/>
      <c r="AM16" s="78" t="n"/>
      <c r="AN16" s="78" t="n"/>
      <c r="AO16" s="78" t="n"/>
      <c r="AP16" s="78" t="n"/>
      <c r="AQ16" s="78" t="n"/>
      <c r="AR16" s="78" t="n"/>
      <c r="AS16" s="78" t="n"/>
      <c r="AT16" s="78" t="n"/>
      <c r="AU16" s="78" t="n"/>
      <c r="AV16" s="78" t="n"/>
      <c r="AW16" s="78" t="n"/>
      <c r="AX16" s="78" t="n"/>
      <c r="AY16" s="78" t="n"/>
      <c r="AZ16" s="78" t="n"/>
      <c r="BA16" s="78" t="n"/>
      <c r="BB16" s="78" t="n"/>
      <c r="BC16" s="78" t="n"/>
      <c r="BD16" s="78" t="n"/>
      <c r="BE16" s="78" t="n"/>
      <c r="BF16" s="78" t="n"/>
      <c r="BG16" s="78" t="n"/>
      <c r="BH16" s="78" t="n"/>
      <c r="BI16" s="143" t="n"/>
    </row>
    <row r="17">
      <c r="A17" s="38" t="inlineStr">
        <is>
          <t>Circulating Marketcap to DEX Volume Ratio (monthly)</t>
        </is>
      </c>
      <c r="B17" s="250" t="n">
        <v>0</v>
      </c>
      <c r="C17" s="250" t="n">
        <v>0</v>
      </c>
      <c r="D17" s="250" t="n">
        <v>0</v>
      </c>
      <c r="E17" s="250" t="n">
        <v>0</v>
      </c>
      <c r="F17" s="250" t="n">
        <v>0</v>
      </c>
      <c r="G17" s="250" t="n">
        <v>0</v>
      </c>
      <c r="H17" s="250" t="n">
        <v>0</v>
      </c>
      <c r="I17" s="250" t="n">
        <v>0</v>
      </c>
      <c r="J17" s="250" t="n">
        <v>0</v>
      </c>
      <c r="K17" s="250" t="n">
        <v>0</v>
      </c>
      <c r="L17" s="250" t="n">
        <v>0</v>
      </c>
      <c r="M17" s="250" t="n">
        <v>0</v>
      </c>
      <c r="N17" s="241" t="n">
        <v>0.3</v>
      </c>
      <c r="O17" s="241" t="n">
        <v>0.3</v>
      </c>
      <c r="P17" s="241" t="n">
        <v>0.3</v>
      </c>
      <c r="Q17" s="241" t="n">
        <v>0.3</v>
      </c>
      <c r="R17" s="241" t="n">
        <v>0.3</v>
      </c>
      <c r="S17" s="241" t="n">
        <v>0.3</v>
      </c>
      <c r="T17" s="241" t="n">
        <v>0.3</v>
      </c>
      <c r="U17" s="241" t="n">
        <v>0.3</v>
      </c>
      <c r="V17" s="241" t="n">
        <v>0.3</v>
      </c>
      <c r="W17" s="241" t="n">
        <v>0.3</v>
      </c>
      <c r="X17" s="241" t="n">
        <v>0.3</v>
      </c>
      <c r="Y17" s="241" t="n">
        <v>0.3</v>
      </c>
      <c r="Z17" s="241" t="n">
        <v>0.3</v>
      </c>
      <c r="AA17" s="241" t="n">
        <v>0.3</v>
      </c>
      <c r="AB17" s="241" t="n">
        <v>0.3</v>
      </c>
      <c r="AC17" s="241" t="n">
        <v>0.3</v>
      </c>
      <c r="AD17" s="241" t="n">
        <v>0.3</v>
      </c>
      <c r="AE17" s="241" t="n">
        <v>0.3</v>
      </c>
      <c r="AF17" s="241" t="n">
        <v>0.3</v>
      </c>
      <c r="AG17" s="241" t="n">
        <v>0.3</v>
      </c>
      <c r="AH17" s="241" t="n">
        <v>0.3</v>
      </c>
      <c r="AI17" s="241" t="n">
        <v>0.3</v>
      </c>
      <c r="AJ17" s="241" t="n">
        <v>0.3</v>
      </c>
      <c r="AK17" s="241" t="n">
        <v>0.3</v>
      </c>
      <c r="AL17" s="241" t="n">
        <v>0.3</v>
      </c>
      <c r="AM17" s="241" t="n">
        <v>0.3</v>
      </c>
      <c r="AN17" s="241" t="n">
        <v>0.3</v>
      </c>
      <c r="AO17" s="241" t="n">
        <v>0.3</v>
      </c>
      <c r="AP17" s="241" t="n">
        <v>0.3</v>
      </c>
      <c r="AQ17" s="241" t="n">
        <v>0.3</v>
      </c>
      <c r="AR17" s="241" t="n">
        <v>0.3</v>
      </c>
      <c r="AS17" s="241" t="n">
        <v>0.3</v>
      </c>
      <c r="AT17" s="241" t="n">
        <v>0.3</v>
      </c>
      <c r="AU17" s="241" t="n">
        <v>0.3</v>
      </c>
      <c r="AV17" s="241" t="n">
        <v>0.3</v>
      </c>
      <c r="AW17" s="241" t="n">
        <v>0.3</v>
      </c>
      <c r="AX17" s="241" t="n">
        <v>0.3</v>
      </c>
      <c r="AY17" s="241" t="n">
        <v>0.3</v>
      </c>
      <c r="AZ17" s="241" t="n">
        <v>0.3</v>
      </c>
      <c r="BA17" s="241" t="n">
        <v>0.3</v>
      </c>
      <c r="BB17" s="241" t="n">
        <v>0.3</v>
      </c>
      <c r="BC17" s="241" t="n">
        <v>0.3</v>
      </c>
      <c r="BD17" s="241" t="n">
        <v>0.3</v>
      </c>
      <c r="BE17" s="241" t="n">
        <v>0.3</v>
      </c>
      <c r="BF17" s="241" t="n">
        <v>0.3</v>
      </c>
      <c r="BG17" s="241" t="n">
        <v>0.3</v>
      </c>
      <c r="BH17" s="241" t="n">
        <v>0.3</v>
      </c>
      <c r="BI17" s="43" t="n">
        <v>0.3</v>
      </c>
    </row>
    <row r="18">
      <c r="A18" s="38" t="inlineStr">
        <is>
          <t>DEX Trading Volume (oz)</t>
        </is>
      </c>
      <c r="B18" s="100" t="n">
        <v>0</v>
      </c>
      <c r="C18" s="100" t="n">
        <v>0</v>
      </c>
      <c r="D18" s="100" t="n">
        <v>0</v>
      </c>
      <c r="E18" s="100" t="n">
        <v>0</v>
      </c>
      <c r="F18" s="100" t="n">
        <v>0</v>
      </c>
      <c r="G18" s="100" t="n">
        <v>0</v>
      </c>
      <c r="H18" s="100" t="n">
        <v>0</v>
      </c>
      <c r="I18" s="100" t="n">
        <v>0</v>
      </c>
      <c r="J18" s="100" t="n">
        <v>0</v>
      </c>
      <c r="K18" s="100" t="n">
        <v>0</v>
      </c>
      <c r="L18" s="100" t="n">
        <v>0</v>
      </c>
      <c r="M18" s="100" t="n">
        <v>0</v>
      </c>
      <c r="N18" s="87">
        <f>N4*N17</f>
        <v/>
      </c>
      <c r="O18" s="87">
        <f>O4*O17</f>
        <v/>
      </c>
      <c r="P18" s="87">
        <f>P4*P17</f>
        <v/>
      </c>
      <c r="Q18" s="87">
        <f>Q4*Q17</f>
        <v/>
      </c>
      <c r="R18" s="87">
        <f>R4*R17</f>
        <v/>
      </c>
      <c r="S18" s="87">
        <f>S4*S17</f>
        <v/>
      </c>
      <c r="T18" s="87">
        <f>T4*T17</f>
        <v/>
      </c>
      <c r="U18" s="87">
        <f>U4*U17</f>
        <v/>
      </c>
      <c r="V18" s="87">
        <f>V4*V17</f>
        <v/>
      </c>
      <c r="W18" s="87">
        <f>W4*W17</f>
        <v/>
      </c>
      <c r="X18" s="87">
        <f>X4*X17</f>
        <v/>
      </c>
      <c r="Y18" s="87">
        <f>Y4*Y17</f>
        <v/>
      </c>
      <c r="Z18" s="87">
        <f>Z4*Z17</f>
        <v/>
      </c>
      <c r="AA18" s="87">
        <f>AA4*AA17</f>
        <v/>
      </c>
      <c r="AB18" s="87">
        <f>AB4*AB17</f>
        <v/>
      </c>
      <c r="AC18" s="87">
        <f>AC4*AC17</f>
        <v/>
      </c>
      <c r="AD18" s="87">
        <f>AD4*AD17</f>
        <v/>
      </c>
      <c r="AE18" s="87">
        <f>AE4*AE17</f>
        <v/>
      </c>
      <c r="AF18" s="87">
        <f>AF4*AF17</f>
        <v/>
      </c>
      <c r="AG18" s="87">
        <f>AG4*AG17</f>
        <v/>
      </c>
      <c r="AH18" s="87">
        <f>AH4*AH17</f>
        <v/>
      </c>
      <c r="AI18" s="87">
        <f>AI4*AI17</f>
        <v/>
      </c>
      <c r="AJ18" s="87">
        <f>AJ4*AJ17</f>
        <v/>
      </c>
      <c r="AK18" s="87">
        <f>AK4*AK17</f>
        <v/>
      </c>
      <c r="AL18" s="87">
        <f>AL4*AL17</f>
        <v/>
      </c>
      <c r="AM18" s="87">
        <f>AM4*AM17</f>
        <v/>
      </c>
      <c r="AN18" s="87">
        <f>AN4*AN17</f>
        <v/>
      </c>
      <c r="AO18" s="87">
        <f>AO4*AO17</f>
        <v/>
      </c>
      <c r="AP18" s="87">
        <f>AP4*AP17</f>
        <v/>
      </c>
      <c r="AQ18" s="87">
        <f>AQ4*AQ17</f>
        <v/>
      </c>
      <c r="AR18" s="87">
        <f>AR4*AR17</f>
        <v/>
      </c>
      <c r="AS18" s="87">
        <f>AS4*AS17</f>
        <v/>
      </c>
      <c r="AT18" s="87">
        <f>AT4*AT17</f>
        <v/>
      </c>
      <c r="AU18" s="87">
        <f>AU4*AU17</f>
        <v/>
      </c>
      <c r="AV18" s="87">
        <f>AV4*AV17</f>
        <v/>
      </c>
      <c r="AW18" s="87">
        <f>AW4*AW17</f>
        <v/>
      </c>
      <c r="AX18" s="87">
        <f>AX4*AX17</f>
        <v/>
      </c>
      <c r="AY18" s="87">
        <f>AY4*AY17</f>
        <v/>
      </c>
      <c r="AZ18" s="87">
        <f>AZ4*AZ17</f>
        <v/>
      </c>
      <c r="BA18" s="87">
        <f>BA4*BA17</f>
        <v/>
      </c>
      <c r="BB18" s="87">
        <f>BB4*BB17</f>
        <v/>
      </c>
      <c r="BC18" s="87">
        <f>BC4*BC17</f>
        <v/>
      </c>
      <c r="BD18" s="87">
        <f>BD4*BD17</f>
        <v/>
      </c>
      <c r="BE18" s="87">
        <f>BE4*BE17</f>
        <v/>
      </c>
      <c r="BF18" s="87">
        <f>BF4*BF17</f>
        <v/>
      </c>
      <c r="BG18" s="87">
        <f>BG4*BG17</f>
        <v/>
      </c>
      <c r="BH18" s="87">
        <f>BH4*BH17</f>
        <v/>
      </c>
      <c r="BI18" s="161">
        <f>BI4*BI17</f>
        <v/>
      </c>
    </row>
    <row r="19">
      <c r="A19" s="38" t="inlineStr">
        <is>
          <t>DEX Trading Volume ($)</t>
        </is>
      </c>
      <c r="B19" s="133">
        <f>B18*XAUconfig!B3</f>
        <v/>
      </c>
      <c r="C19" s="133">
        <f>C18*XAUconfig!C3</f>
        <v/>
      </c>
      <c r="D19" s="133">
        <f>D18*XAUconfig!D3</f>
        <v/>
      </c>
      <c r="E19" s="133">
        <f>E18*XAUconfig!E3</f>
        <v/>
      </c>
      <c r="F19" s="133">
        <f>F18*XAUconfig!F3</f>
        <v/>
      </c>
      <c r="G19" s="133">
        <f>G18*XAUconfig!G3</f>
        <v/>
      </c>
      <c r="H19" s="133">
        <f>H18*XAUconfig!H3</f>
        <v/>
      </c>
      <c r="I19" s="133">
        <f>I18*XAUconfig!I3</f>
        <v/>
      </c>
      <c r="J19" s="133">
        <f>J18*XAUconfig!J3</f>
        <v/>
      </c>
      <c r="K19" s="133">
        <f>K18*XAUconfig!K3</f>
        <v/>
      </c>
      <c r="L19" s="133">
        <f>L18*XAUconfig!L3</f>
        <v/>
      </c>
      <c r="M19" s="133">
        <f>M18*XAUconfig!M3</f>
        <v/>
      </c>
      <c r="N19" s="133">
        <f>N18*XAUconfig!N3</f>
        <v/>
      </c>
      <c r="O19" s="133">
        <f>O18*XAUconfig!O3</f>
        <v/>
      </c>
      <c r="P19" s="133">
        <f>P18*XAUconfig!P3</f>
        <v/>
      </c>
      <c r="Q19" s="133">
        <f>Q18*XAUconfig!Q3</f>
        <v/>
      </c>
      <c r="R19" s="133">
        <f>R18*XAUconfig!R3</f>
        <v/>
      </c>
      <c r="S19" s="133">
        <f>S18*XAUconfig!S3</f>
        <v/>
      </c>
      <c r="T19" s="133">
        <f>T18*XAUconfig!T3</f>
        <v/>
      </c>
      <c r="U19" s="133">
        <f>U18*XAUconfig!U3</f>
        <v/>
      </c>
      <c r="V19" s="133">
        <f>V18*XAUconfig!V3</f>
        <v/>
      </c>
      <c r="W19" s="133">
        <f>W18*XAUconfig!W3</f>
        <v/>
      </c>
      <c r="X19" s="133">
        <f>X18*XAUconfig!X3</f>
        <v/>
      </c>
      <c r="Y19" s="133">
        <f>Y18*XAUconfig!Y3</f>
        <v/>
      </c>
      <c r="Z19" s="133">
        <f>Z18*XAUconfig!Z3</f>
        <v/>
      </c>
      <c r="AA19" s="133">
        <f>AA18*XAUconfig!AA3</f>
        <v/>
      </c>
      <c r="AB19" s="133">
        <f>AB18*XAUconfig!AB3</f>
        <v/>
      </c>
      <c r="AC19" s="133">
        <f>AC18*XAUconfig!AC3</f>
        <v/>
      </c>
      <c r="AD19" s="133">
        <f>AD18*XAUconfig!AD3</f>
        <v/>
      </c>
      <c r="AE19" s="133">
        <f>AE18*XAUconfig!AE3</f>
        <v/>
      </c>
      <c r="AF19" s="133">
        <f>AF18*XAUconfig!AF3</f>
        <v/>
      </c>
      <c r="AG19" s="133">
        <f>AG18*XAUconfig!AG3</f>
        <v/>
      </c>
      <c r="AH19" s="133">
        <f>AH18*XAUconfig!AH3</f>
        <v/>
      </c>
      <c r="AI19" s="133">
        <f>AI18*XAUconfig!AI3</f>
        <v/>
      </c>
      <c r="AJ19" s="133">
        <f>AJ18*XAUconfig!AJ3</f>
        <v/>
      </c>
      <c r="AK19" s="133">
        <f>AK18*XAUconfig!AK3</f>
        <v/>
      </c>
      <c r="AL19" s="133">
        <f>AL18*XAUconfig!AL3</f>
        <v/>
      </c>
      <c r="AM19" s="133">
        <f>AM18*XAUconfig!AM3</f>
        <v/>
      </c>
      <c r="AN19" s="133">
        <f>AN18*XAUconfig!AN3</f>
        <v/>
      </c>
      <c r="AO19" s="133">
        <f>AO18*XAUconfig!AO3</f>
        <v/>
      </c>
      <c r="AP19" s="133">
        <f>AP18*XAUconfig!AP3</f>
        <v/>
      </c>
      <c r="AQ19" s="133">
        <f>AQ18*XAUconfig!AQ3</f>
        <v/>
      </c>
      <c r="AR19" s="133">
        <f>AR18*XAUconfig!AR3</f>
        <v/>
      </c>
      <c r="AS19" s="133">
        <f>AS18*XAUconfig!AS3</f>
        <v/>
      </c>
      <c r="AT19" s="133">
        <f>AT18*XAUconfig!AT3</f>
        <v/>
      </c>
      <c r="AU19" s="133">
        <f>AU18*XAUconfig!AU3</f>
        <v/>
      </c>
      <c r="AV19" s="133">
        <f>AV18*XAUconfig!AV3</f>
        <v/>
      </c>
      <c r="AW19" s="133">
        <f>AW18*XAUconfig!AW3</f>
        <v/>
      </c>
      <c r="AX19" s="133">
        <f>AX18*XAUconfig!AX3</f>
        <v/>
      </c>
      <c r="AY19" s="133">
        <f>AY18*XAUconfig!AY3</f>
        <v/>
      </c>
      <c r="AZ19" s="133">
        <f>AZ18*XAUconfig!AZ3</f>
        <v/>
      </c>
      <c r="BA19" s="133">
        <f>BA18*XAUconfig!BA3</f>
        <v/>
      </c>
      <c r="BB19" s="133">
        <f>BB18*XAUconfig!BB3</f>
        <v/>
      </c>
      <c r="BC19" s="133">
        <f>BC18*XAUconfig!BC3</f>
        <v/>
      </c>
      <c r="BD19" s="133">
        <f>BD18*XAUconfig!BD3</f>
        <v/>
      </c>
      <c r="BE19" s="133">
        <f>BE18*XAUconfig!BE3</f>
        <v/>
      </c>
      <c r="BF19" s="133">
        <f>BF18*XAUconfig!BF3</f>
        <v/>
      </c>
      <c r="BG19" s="133">
        <f>BG18*XAUconfig!BG3</f>
        <v/>
      </c>
      <c r="BH19" s="133">
        <f>BH18*XAUconfig!BH3</f>
        <v/>
      </c>
      <c r="BI19" s="135">
        <f>BI18*XAUconfig!BI3</f>
        <v/>
      </c>
    </row>
    <row r="20">
      <c r="A20" s="38" t="inlineStr">
        <is>
          <t>Inter-wallet Transfer Volume (oz)</t>
        </is>
      </c>
      <c r="B20" s="100" t="n">
        <v>0</v>
      </c>
      <c r="C20" s="100" t="n">
        <v>0</v>
      </c>
      <c r="D20" s="100" t="n">
        <v>0</v>
      </c>
      <c r="E20" s="100" t="n">
        <v>0</v>
      </c>
      <c r="F20" s="100" t="n">
        <v>0</v>
      </c>
      <c r="G20" s="100" t="n">
        <v>0</v>
      </c>
      <c r="H20" s="100" t="n">
        <v>0</v>
      </c>
      <c r="I20" s="100" t="n">
        <v>0</v>
      </c>
      <c r="J20" s="100" t="n">
        <v>0</v>
      </c>
      <c r="K20" s="100" t="n">
        <v>0</v>
      </c>
      <c r="L20" s="100" t="n">
        <v>0</v>
      </c>
      <c r="M20" s="100" t="n">
        <v>0</v>
      </c>
      <c r="N20" s="125">
        <f>'Token Supply (5yr)'!N32</f>
        <v/>
      </c>
      <c r="O20" s="125">
        <f>'Token Supply (5yr)'!O32</f>
        <v/>
      </c>
      <c r="P20" s="125">
        <f>'Token Supply (5yr)'!P32</f>
        <v/>
      </c>
      <c r="Q20" s="125">
        <f>'Token Supply (5yr)'!Q32</f>
        <v/>
      </c>
      <c r="R20" s="125">
        <f>'Token Supply (5yr)'!R32</f>
        <v/>
      </c>
      <c r="S20" s="125">
        <f>'Token Supply (5yr)'!S32</f>
        <v/>
      </c>
      <c r="T20" s="125">
        <f>'Token Supply (5yr)'!T32</f>
        <v/>
      </c>
      <c r="U20" s="125">
        <f>'Token Supply (5yr)'!U32</f>
        <v/>
      </c>
      <c r="V20" s="125">
        <f>'Token Supply (5yr)'!V32</f>
        <v/>
      </c>
      <c r="W20" s="125">
        <f>'Token Supply (5yr)'!W32</f>
        <v/>
      </c>
      <c r="X20" s="125">
        <f>'Token Supply (5yr)'!X32</f>
        <v/>
      </c>
      <c r="Y20" s="125">
        <f>'Token Supply (5yr)'!Y32</f>
        <v/>
      </c>
      <c r="Z20" s="125">
        <f>'Token Supply (5yr)'!Z32</f>
        <v/>
      </c>
      <c r="AA20" s="125">
        <f>'Token Supply (5yr)'!AA32</f>
        <v/>
      </c>
      <c r="AB20" s="125">
        <f>'Token Supply (5yr)'!AB32</f>
        <v/>
      </c>
      <c r="AC20" s="125">
        <f>'Token Supply (5yr)'!AC32</f>
        <v/>
      </c>
      <c r="AD20" s="125">
        <f>'Token Supply (5yr)'!AD32</f>
        <v/>
      </c>
      <c r="AE20" s="125">
        <f>'Token Supply (5yr)'!AE32</f>
        <v/>
      </c>
      <c r="AF20" s="125">
        <f>'Token Supply (5yr)'!AF32</f>
        <v/>
      </c>
      <c r="AG20" s="125">
        <f>'Token Supply (5yr)'!AG32</f>
        <v/>
      </c>
      <c r="AH20" s="125">
        <f>'Token Supply (5yr)'!AH32</f>
        <v/>
      </c>
      <c r="AI20" s="125">
        <f>'Token Supply (5yr)'!AI32</f>
        <v/>
      </c>
      <c r="AJ20" s="125">
        <f>'Token Supply (5yr)'!AJ32</f>
        <v/>
      </c>
      <c r="AK20" s="125">
        <f>'Token Supply (5yr)'!AK32</f>
        <v/>
      </c>
      <c r="AL20" s="125">
        <f>'Token Supply (5yr)'!AL32</f>
        <v/>
      </c>
      <c r="AM20" s="125">
        <f>'Token Supply (5yr)'!AM32</f>
        <v/>
      </c>
      <c r="AN20" s="125">
        <f>'Token Supply (5yr)'!AN32</f>
        <v/>
      </c>
      <c r="AO20" s="125">
        <f>'Token Supply (5yr)'!AO32</f>
        <v/>
      </c>
      <c r="AP20" s="125">
        <f>'Token Supply (5yr)'!AP32</f>
        <v/>
      </c>
      <c r="AQ20" s="125">
        <f>'Token Supply (5yr)'!AQ32</f>
        <v/>
      </c>
      <c r="AR20" s="125">
        <f>'Token Supply (5yr)'!AR32</f>
        <v/>
      </c>
      <c r="AS20" s="125">
        <f>'Token Supply (5yr)'!AS32</f>
        <v/>
      </c>
      <c r="AT20" s="125">
        <f>'Token Supply (5yr)'!AT32</f>
        <v/>
      </c>
      <c r="AU20" s="125">
        <f>'Token Supply (5yr)'!AU32</f>
        <v/>
      </c>
      <c r="AV20" s="125">
        <f>'Token Supply (5yr)'!AV32</f>
        <v/>
      </c>
      <c r="AW20" s="125">
        <f>'Token Supply (5yr)'!AW32</f>
        <v/>
      </c>
      <c r="AX20" s="125">
        <f>'Token Supply (5yr)'!AX32</f>
        <v/>
      </c>
      <c r="AY20" s="125">
        <f>'Token Supply (5yr)'!AY32</f>
        <v/>
      </c>
      <c r="AZ20" s="125">
        <f>'Token Supply (5yr)'!AZ32</f>
        <v/>
      </c>
      <c r="BA20" s="125">
        <f>'Token Supply (5yr)'!BA32</f>
        <v/>
      </c>
      <c r="BB20" s="125">
        <f>'Token Supply (5yr)'!BB32</f>
        <v/>
      </c>
      <c r="BC20" s="125">
        <f>'Token Supply (5yr)'!BC32</f>
        <v/>
      </c>
      <c r="BD20" s="125">
        <f>'Token Supply (5yr)'!BD32</f>
        <v/>
      </c>
      <c r="BE20" s="125">
        <f>'Token Supply (5yr)'!BE32</f>
        <v/>
      </c>
      <c r="BF20" s="125">
        <f>'Token Supply (5yr)'!BF32</f>
        <v/>
      </c>
      <c r="BG20" s="125">
        <f>'Token Supply (5yr)'!BG32</f>
        <v/>
      </c>
      <c r="BH20" s="125">
        <f>'Token Supply (5yr)'!BH32</f>
        <v/>
      </c>
      <c r="BI20" s="187">
        <f>'Token Supply (5yr)'!BI32</f>
        <v/>
      </c>
    </row>
    <row r="21">
      <c r="A21" s="38" t="inlineStr">
        <is>
          <t>Total Token Transfer Volume (oz)</t>
        </is>
      </c>
      <c r="B21" s="100" t="n">
        <v>0</v>
      </c>
      <c r="C21" s="100" t="n">
        <v>0</v>
      </c>
      <c r="D21" s="100" t="n">
        <v>0</v>
      </c>
      <c r="E21" s="100" t="n">
        <v>0</v>
      </c>
      <c r="F21" s="100" t="n">
        <v>0</v>
      </c>
      <c r="G21" s="100" t="n">
        <v>0</v>
      </c>
      <c r="H21" s="100" t="n">
        <v>0</v>
      </c>
      <c r="I21" s="100" t="n">
        <v>0</v>
      </c>
      <c r="J21" s="100" t="n">
        <v>0</v>
      </c>
      <c r="K21" s="100" t="n">
        <v>0</v>
      </c>
      <c r="L21" s="100" t="n">
        <v>0</v>
      </c>
      <c r="M21" s="100" t="n">
        <v>0</v>
      </c>
      <c r="N21" s="87">
        <f>N18+N20</f>
        <v/>
      </c>
      <c r="O21" s="87">
        <f>O18+O20</f>
        <v/>
      </c>
      <c r="P21" s="87">
        <f>P18+P20</f>
        <v/>
      </c>
      <c r="Q21" s="87">
        <f>Q18+Q20</f>
        <v/>
      </c>
      <c r="R21" s="87">
        <f>R18+R20</f>
        <v/>
      </c>
      <c r="S21" s="87">
        <f>S18+S20</f>
        <v/>
      </c>
      <c r="T21" s="87">
        <f>T18+T20</f>
        <v/>
      </c>
      <c r="U21" s="87">
        <f>U18+U20</f>
        <v/>
      </c>
      <c r="V21" s="87">
        <f>V18+V20</f>
        <v/>
      </c>
      <c r="W21" s="87">
        <f>W18+W20</f>
        <v/>
      </c>
      <c r="X21" s="87">
        <f>X18+X20</f>
        <v/>
      </c>
      <c r="Y21" s="87">
        <f>Y18+Y20</f>
        <v/>
      </c>
      <c r="Z21" s="87">
        <f>Z18+Z20</f>
        <v/>
      </c>
      <c r="AA21" s="87">
        <f>AA18+AA20</f>
        <v/>
      </c>
      <c r="AB21" s="87">
        <f>AB18+AB20</f>
        <v/>
      </c>
      <c r="AC21" s="87">
        <f>AC18+AC20</f>
        <v/>
      </c>
      <c r="AD21" s="87">
        <f>AD18+AD20</f>
        <v/>
      </c>
      <c r="AE21" s="87">
        <f>AE18+AE20</f>
        <v/>
      </c>
      <c r="AF21" s="87">
        <f>AF18+AF20</f>
        <v/>
      </c>
      <c r="AG21" s="87">
        <f>AG18+AG20</f>
        <v/>
      </c>
      <c r="AH21" s="87">
        <f>AH18+AH20</f>
        <v/>
      </c>
      <c r="AI21" s="87">
        <f>AI18+AI20</f>
        <v/>
      </c>
      <c r="AJ21" s="87">
        <f>AJ18+AJ20</f>
        <v/>
      </c>
      <c r="AK21" s="87">
        <f>AK18+AK20</f>
        <v/>
      </c>
      <c r="AL21" s="87">
        <f>AL18+AL20</f>
        <v/>
      </c>
      <c r="AM21" s="87">
        <f>AM18+AM20</f>
        <v/>
      </c>
      <c r="AN21" s="87">
        <f>AN18+AN20</f>
        <v/>
      </c>
      <c r="AO21" s="87">
        <f>AO18+AO20</f>
        <v/>
      </c>
      <c r="AP21" s="87">
        <f>AP18+AP20</f>
        <v/>
      </c>
      <c r="AQ21" s="87">
        <f>AQ18+AQ20</f>
        <v/>
      </c>
      <c r="AR21" s="87">
        <f>AR18+AR20</f>
        <v/>
      </c>
      <c r="AS21" s="87">
        <f>AS18+AS20</f>
        <v/>
      </c>
      <c r="AT21" s="87">
        <f>AT18+AT20</f>
        <v/>
      </c>
      <c r="AU21" s="87">
        <f>AU18+AU20</f>
        <v/>
      </c>
      <c r="AV21" s="87">
        <f>AV18+AV20</f>
        <v/>
      </c>
      <c r="AW21" s="87">
        <f>AW18+AW20</f>
        <v/>
      </c>
      <c r="AX21" s="87">
        <f>AX18+AX20</f>
        <v/>
      </c>
      <c r="AY21" s="87">
        <f>AY18+AY20</f>
        <v/>
      </c>
      <c r="AZ21" s="87">
        <f>AZ18+AZ20</f>
        <v/>
      </c>
      <c r="BA21" s="87">
        <f>BA18+BA20</f>
        <v/>
      </c>
      <c r="BB21" s="87">
        <f>BB18+BB20</f>
        <v/>
      </c>
      <c r="BC21" s="87">
        <f>BC18+BC20</f>
        <v/>
      </c>
      <c r="BD21" s="87">
        <f>BD18+BD20</f>
        <v/>
      </c>
      <c r="BE21" s="87">
        <f>BE18+BE20</f>
        <v/>
      </c>
      <c r="BF21" s="87">
        <f>BF18+BF20</f>
        <v/>
      </c>
      <c r="BG21" s="87">
        <f>BG18+BG20</f>
        <v/>
      </c>
      <c r="BH21" s="87">
        <f>BH18+BH20</f>
        <v/>
      </c>
      <c r="BI21" s="161">
        <f>BI18+BI20</f>
        <v/>
      </c>
    </row>
    <row r="22">
      <c r="A22" s="38" t="inlineStr">
        <is>
          <t>Token Transfer Fee Gross Revenue (oz)</t>
        </is>
      </c>
      <c r="B22" s="100" t="n">
        <v>0</v>
      </c>
      <c r="C22" s="100" t="n">
        <v>0</v>
      </c>
      <c r="D22" s="100" t="n">
        <v>0</v>
      </c>
      <c r="E22" s="100" t="n">
        <v>0</v>
      </c>
      <c r="F22" s="100" t="n">
        <v>0</v>
      </c>
      <c r="G22" s="100" t="n">
        <v>0</v>
      </c>
      <c r="H22" s="100" t="n">
        <v>0</v>
      </c>
      <c r="I22" s="100" t="n">
        <v>0</v>
      </c>
      <c r="J22" s="100" t="n">
        <v>0</v>
      </c>
      <c r="K22" s="100" t="n">
        <v>0</v>
      </c>
      <c r="L22" s="100" t="n">
        <v>0</v>
      </c>
      <c r="M22" s="100" t="n">
        <v>0</v>
      </c>
      <c r="N22" s="87">
        <f>N21*Inputs!B29</f>
        <v/>
      </c>
      <c r="O22" s="87">
        <f>O21*Inputs!B29</f>
        <v/>
      </c>
      <c r="P22" s="87">
        <f>P21*Inputs!B29</f>
        <v/>
      </c>
      <c r="Q22" s="87">
        <f>Q21*Inputs!B29</f>
        <v/>
      </c>
      <c r="R22" s="87">
        <f>R21*Inputs!B29</f>
        <v/>
      </c>
      <c r="S22" s="87">
        <f>S21*Inputs!B29</f>
        <v/>
      </c>
      <c r="T22" s="87">
        <f>T21*Inputs!B29</f>
        <v/>
      </c>
      <c r="U22" s="87">
        <f>U21*Inputs!B29</f>
        <v/>
      </c>
      <c r="V22" s="87">
        <f>V21*Inputs!B29</f>
        <v/>
      </c>
      <c r="W22" s="87">
        <f>W21*Inputs!B29</f>
        <v/>
      </c>
      <c r="X22" s="87">
        <f>X21*Inputs!B29</f>
        <v/>
      </c>
      <c r="Y22" s="87">
        <f>Y21*Inputs!B29</f>
        <v/>
      </c>
      <c r="Z22" s="87">
        <f>Z21*Inputs!B29</f>
        <v/>
      </c>
      <c r="AA22" s="87">
        <f>AA21*Inputs!B29</f>
        <v/>
      </c>
      <c r="AB22" s="87">
        <f>AB21*Inputs!B29</f>
        <v/>
      </c>
      <c r="AC22" s="87">
        <f>AC21*Inputs!B29</f>
        <v/>
      </c>
      <c r="AD22" s="87">
        <f>AD21*Inputs!B29</f>
        <v/>
      </c>
      <c r="AE22" s="87">
        <f>AE21*Inputs!B29</f>
        <v/>
      </c>
      <c r="AF22" s="87">
        <f>AF21*Inputs!B29</f>
        <v/>
      </c>
      <c r="AG22" s="87">
        <f>AG21*Inputs!B29</f>
        <v/>
      </c>
      <c r="AH22" s="87">
        <f>AH21*Inputs!B29</f>
        <v/>
      </c>
      <c r="AI22" s="87">
        <f>AI21*Inputs!B29</f>
        <v/>
      </c>
      <c r="AJ22" s="87">
        <f>AJ21*Inputs!B29</f>
        <v/>
      </c>
      <c r="AK22" s="87">
        <f>AK21*Inputs!B29</f>
        <v/>
      </c>
      <c r="AL22" s="87">
        <f>AL21*Inputs!B29</f>
        <v/>
      </c>
      <c r="AM22" s="87">
        <f>AM21*Inputs!B29</f>
        <v/>
      </c>
      <c r="AN22" s="87">
        <f>AN21*Inputs!B29</f>
        <v/>
      </c>
      <c r="AO22" s="87">
        <f>AO21*Inputs!B29</f>
        <v/>
      </c>
      <c r="AP22" s="87">
        <f>AP21*Inputs!B29</f>
        <v/>
      </c>
      <c r="AQ22" s="87">
        <f>AQ21*Inputs!B29</f>
        <v/>
      </c>
      <c r="AR22" s="87">
        <f>AR21*Inputs!B29</f>
        <v/>
      </c>
      <c r="AS22" s="87">
        <f>AS21*Inputs!B29</f>
        <v/>
      </c>
      <c r="AT22" s="87">
        <f>AT21*Inputs!B29</f>
        <v/>
      </c>
      <c r="AU22" s="87">
        <f>AU21*Inputs!B29</f>
        <v/>
      </c>
      <c r="AV22" s="87">
        <f>AV21*Inputs!B29</f>
        <v/>
      </c>
      <c r="AW22" s="87">
        <f>AW21*Inputs!B29</f>
        <v/>
      </c>
      <c r="AX22" s="87">
        <f>AX21*Inputs!B29</f>
        <v/>
      </c>
      <c r="AY22" s="87">
        <f>AY21*Inputs!B29</f>
        <v/>
      </c>
      <c r="AZ22" s="87">
        <f>AZ21*Inputs!B29</f>
        <v/>
      </c>
      <c r="BA22" s="87">
        <f>BA21*Inputs!B29</f>
        <v/>
      </c>
      <c r="BB22" s="87">
        <f>BB21*Inputs!B29</f>
        <v/>
      </c>
      <c r="BC22" s="87">
        <f>BC21*Inputs!B29</f>
        <v/>
      </c>
      <c r="BD22" s="87">
        <f>BD21*Inputs!B29</f>
        <v/>
      </c>
      <c r="BE22" s="87">
        <f>BE21*Inputs!B29</f>
        <v/>
      </c>
      <c r="BF22" s="87">
        <f>BF21*Inputs!B29</f>
        <v/>
      </c>
      <c r="BG22" s="87">
        <f>BG21*Inputs!B29</f>
        <v/>
      </c>
      <c r="BH22" s="87">
        <f>BH21*Inputs!B29</f>
        <v/>
      </c>
      <c r="BI22" s="161">
        <f>BI21*Inputs!B29</f>
        <v/>
      </c>
    </row>
    <row r="23">
      <c r="A23" s="38" t="inlineStr">
        <is>
          <t>Token Transfer Fee Net Revenue to RAF (oz)</t>
        </is>
      </c>
      <c r="B23" s="100" t="n">
        <v>0</v>
      </c>
      <c r="C23" s="100" t="n">
        <v>0</v>
      </c>
      <c r="D23" s="100" t="n">
        <v>0</v>
      </c>
      <c r="E23" s="100" t="n">
        <v>0</v>
      </c>
      <c r="F23" s="100" t="n">
        <v>0</v>
      </c>
      <c r="G23" s="100" t="n">
        <v>0</v>
      </c>
      <c r="H23" s="100" t="n">
        <v>0</v>
      </c>
      <c r="I23" s="100" t="n">
        <v>0</v>
      </c>
      <c r="J23" s="100" t="n">
        <v>0</v>
      </c>
      <c r="K23" s="100" t="n">
        <v>0</v>
      </c>
      <c r="L23" s="100" t="n">
        <v>0</v>
      </c>
      <c r="M23" s="100" t="n">
        <v>0</v>
      </c>
      <c r="N23" s="87">
        <f>N22*RevShare!B9</f>
        <v/>
      </c>
      <c r="O23" s="87">
        <f>O22*RevShare!B9</f>
        <v/>
      </c>
      <c r="P23" s="87">
        <f>P22*RevShare!B9</f>
        <v/>
      </c>
      <c r="Q23" s="87">
        <f>Q22*RevShare!B9</f>
        <v/>
      </c>
      <c r="R23" s="87">
        <f>R22*RevShare!B9</f>
        <v/>
      </c>
      <c r="S23" s="87">
        <f>S22*RevShare!B9</f>
        <v/>
      </c>
      <c r="T23" s="87">
        <f>T22*RevShare!B9</f>
        <v/>
      </c>
      <c r="U23" s="87">
        <f>U22*RevShare!B9</f>
        <v/>
      </c>
      <c r="V23" s="87">
        <f>V22*RevShare!B9</f>
        <v/>
      </c>
      <c r="W23" s="87">
        <f>W22*RevShare!B9</f>
        <v/>
      </c>
      <c r="X23" s="87">
        <f>X22*RevShare!B9</f>
        <v/>
      </c>
      <c r="Y23" s="87">
        <f>Y22*RevShare!B9</f>
        <v/>
      </c>
      <c r="Z23" s="87">
        <f>Z22*RevShare!B9</f>
        <v/>
      </c>
      <c r="AA23" s="87">
        <f>AA22*RevShare!B9</f>
        <v/>
      </c>
      <c r="AB23" s="87">
        <f>AB22*RevShare!B9</f>
        <v/>
      </c>
      <c r="AC23" s="87">
        <f>AC22*RevShare!B9</f>
        <v/>
      </c>
      <c r="AD23" s="87">
        <f>AD22*RevShare!B9</f>
        <v/>
      </c>
      <c r="AE23" s="87">
        <f>AE22*RevShare!B9</f>
        <v/>
      </c>
      <c r="AF23" s="87">
        <f>AF22*RevShare!B9</f>
        <v/>
      </c>
      <c r="AG23" s="87">
        <f>AG22*RevShare!B9</f>
        <v/>
      </c>
      <c r="AH23" s="87">
        <f>AH22*RevShare!B9</f>
        <v/>
      </c>
      <c r="AI23" s="87">
        <f>AI22*RevShare!B9</f>
        <v/>
      </c>
      <c r="AJ23" s="87">
        <f>AJ22*RevShare!B9</f>
        <v/>
      </c>
      <c r="AK23" s="87">
        <f>AK22*RevShare!B9</f>
        <v/>
      </c>
      <c r="AL23" s="87">
        <f>AL22*RevShare!B9</f>
        <v/>
      </c>
      <c r="AM23" s="87">
        <f>AM22*RevShare!B9</f>
        <v/>
      </c>
      <c r="AN23" s="87">
        <f>AN22*RevShare!B9</f>
        <v/>
      </c>
      <c r="AO23" s="87">
        <f>AO22*RevShare!B9</f>
        <v/>
      </c>
      <c r="AP23" s="87">
        <f>AP22*RevShare!B9</f>
        <v/>
      </c>
      <c r="AQ23" s="87">
        <f>AQ22*RevShare!B9</f>
        <v/>
      </c>
      <c r="AR23" s="87">
        <f>AR22*RevShare!B9</f>
        <v/>
      </c>
      <c r="AS23" s="87">
        <f>AS22*RevShare!B9</f>
        <v/>
      </c>
      <c r="AT23" s="87">
        <f>AT22*RevShare!B9</f>
        <v/>
      </c>
      <c r="AU23" s="87">
        <f>AU22*RevShare!B9</f>
        <v/>
      </c>
      <c r="AV23" s="87">
        <f>AV22*RevShare!B9</f>
        <v/>
      </c>
      <c r="AW23" s="87">
        <f>AW22*RevShare!B9</f>
        <v/>
      </c>
      <c r="AX23" s="87">
        <f>AX22*RevShare!B9</f>
        <v/>
      </c>
      <c r="AY23" s="87">
        <f>AY22*RevShare!B9</f>
        <v/>
      </c>
      <c r="AZ23" s="87">
        <f>AZ22*RevShare!B9</f>
        <v/>
      </c>
      <c r="BA23" s="87">
        <f>BA22*RevShare!B9</f>
        <v/>
      </c>
      <c r="BB23" s="87">
        <f>BB22*RevShare!B9</f>
        <v/>
      </c>
      <c r="BC23" s="87">
        <f>BC22*RevShare!B9</f>
        <v/>
      </c>
      <c r="BD23" s="87">
        <f>BD22*RevShare!B9</f>
        <v/>
      </c>
      <c r="BE23" s="87">
        <f>BE22*RevShare!B9</f>
        <v/>
      </c>
      <c r="BF23" s="87">
        <f>BF22*RevShare!B9</f>
        <v/>
      </c>
      <c r="BG23" s="87">
        <f>BG22*RevShare!B9</f>
        <v/>
      </c>
      <c r="BH23" s="87">
        <f>BH22*RevShare!B9</f>
        <v/>
      </c>
      <c r="BI23" s="161">
        <f>BI22*RevShare!B9</f>
        <v/>
      </c>
    </row>
    <row r="24">
      <c r="A24" s="38" t="inlineStr">
        <is>
          <t>Token Transfer Fee Net Revenue to RGT (oz)</t>
        </is>
      </c>
      <c r="B24" s="100" t="n">
        <v>0</v>
      </c>
      <c r="C24" s="100" t="n">
        <v>0</v>
      </c>
      <c r="D24" s="100" t="n">
        <v>0</v>
      </c>
      <c r="E24" s="100" t="n">
        <v>0</v>
      </c>
      <c r="F24" s="100" t="n">
        <v>0</v>
      </c>
      <c r="G24" s="100" t="n">
        <v>0</v>
      </c>
      <c r="H24" s="100" t="n">
        <v>0</v>
      </c>
      <c r="I24" s="100" t="n">
        <v>0</v>
      </c>
      <c r="J24" s="100" t="n">
        <v>0</v>
      </c>
      <c r="K24" s="100" t="n">
        <v>0</v>
      </c>
      <c r="L24" s="100" t="n">
        <v>0</v>
      </c>
      <c r="M24" s="100" t="n">
        <v>0</v>
      </c>
      <c r="N24" s="87">
        <f>N22*RevShare!B10</f>
        <v/>
      </c>
      <c r="O24" s="87">
        <f>O22*RevShare!B10</f>
        <v/>
      </c>
      <c r="P24" s="87">
        <f>P22*RevShare!B10</f>
        <v/>
      </c>
      <c r="Q24" s="87">
        <f>Q22*RevShare!B10</f>
        <v/>
      </c>
      <c r="R24" s="87">
        <f>R22*RevShare!B10</f>
        <v/>
      </c>
      <c r="S24" s="87">
        <f>S22*RevShare!B10</f>
        <v/>
      </c>
      <c r="T24" s="87">
        <f>T22*RevShare!B10</f>
        <v/>
      </c>
      <c r="U24" s="87">
        <f>U22*RevShare!B10</f>
        <v/>
      </c>
      <c r="V24" s="87">
        <f>V22*RevShare!B10</f>
        <v/>
      </c>
      <c r="W24" s="87">
        <f>W22*RevShare!B10</f>
        <v/>
      </c>
      <c r="X24" s="87">
        <f>X22*RevShare!B10</f>
        <v/>
      </c>
      <c r="Y24" s="87">
        <f>Y22*RevShare!B10</f>
        <v/>
      </c>
      <c r="Z24" s="87">
        <f>Z22*RevShare!B10</f>
        <v/>
      </c>
      <c r="AA24" s="87">
        <f>AA22*RevShare!B10</f>
        <v/>
      </c>
      <c r="AB24" s="87">
        <f>AB22*RevShare!B10</f>
        <v/>
      </c>
      <c r="AC24" s="87">
        <f>AC22*RevShare!B10</f>
        <v/>
      </c>
      <c r="AD24" s="87">
        <f>AD22*RevShare!B10</f>
        <v/>
      </c>
      <c r="AE24" s="87">
        <f>AE22*RevShare!B10</f>
        <v/>
      </c>
      <c r="AF24" s="87">
        <f>AF22*RevShare!B10</f>
        <v/>
      </c>
      <c r="AG24" s="87">
        <f>AG22*RevShare!B10</f>
        <v/>
      </c>
      <c r="AH24" s="87">
        <f>AH22*RevShare!B10</f>
        <v/>
      </c>
      <c r="AI24" s="87">
        <f>AI22*RevShare!B10</f>
        <v/>
      </c>
      <c r="AJ24" s="87">
        <f>AJ22*RevShare!B10</f>
        <v/>
      </c>
      <c r="AK24" s="87">
        <f>AK22*RevShare!B10</f>
        <v/>
      </c>
      <c r="AL24" s="87">
        <f>AL22*RevShare!B10</f>
        <v/>
      </c>
      <c r="AM24" s="87">
        <f>AM22*RevShare!B10</f>
        <v/>
      </c>
      <c r="AN24" s="87">
        <f>AN22*RevShare!B10</f>
        <v/>
      </c>
      <c r="AO24" s="87">
        <f>AO22*RevShare!B10</f>
        <v/>
      </c>
      <c r="AP24" s="87">
        <f>AP22*RevShare!B10</f>
        <v/>
      </c>
      <c r="AQ24" s="87">
        <f>AQ22*RevShare!B10</f>
        <v/>
      </c>
      <c r="AR24" s="87">
        <f>AR22*RevShare!B10</f>
        <v/>
      </c>
      <c r="AS24" s="87">
        <f>AS22*RevShare!B10</f>
        <v/>
      </c>
      <c r="AT24" s="87">
        <f>AT22*RevShare!B10</f>
        <v/>
      </c>
      <c r="AU24" s="87">
        <f>AU22*RevShare!B10</f>
        <v/>
      </c>
      <c r="AV24" s="87">
        <f>AV22*RevShare!B10</f>
        <v/>
      </c>
      <c r="AW24" s="87">
        <f>AW22*RevShare!B10</f>
        <v/>
      </c>
      <c r="AX24" s="87">
        <f>AX22*RevShare!B10</f>
        <v/>
      </c>
      <c r="AY24" s="87">
        <f>AY22*RevShare!B10</f>
        <v/>
      </c>
      <c r="AZ24" s="87">
        <f>AZ22*RevShare!B10</f>
        <v/>
      </c>
      <c r="BA24" s="87">
        <f>BA22*RevShare!B10</f>
        <v/>
      </c>
      <c r="BB24" s="87">
        <f>BB22*RevShare!B10</f>
        <v/>
      </c>
      <c r="BC24" s="87">
        <f>BC22*RevShare!B10</f>
        <v/>
      </c>
      <c r="BD24" s="87">
        <f>BD22*RevShare!B10</f>
        <v/>
      </c>
      <c r="BE24" s="87">
        <f>BE22*RevShare!B10</f>
        <v/>
      </c>
      <c r="BF24" s="87">
        <f>BF22*RevShare!B10</f>
        <v/>
      </c>
      <c r="BG24" s="87">
        <f>BG22*RevShare!B10</f>
        <v/>
      </c>
      <c r="BH24" s="87">
        <f>BH22*RevShare!B10</f>
        <v/>
      </c>
      <c r="BI24" s="161">
        <f>BI22*RevShare!B10</f>
        <v/>
      </c>
    </row>
    <row r="25">
      <c r="A25" s="38" t="inlineStr">
        <is>
          <t>Swap Fee Gross Revenue (oz)</t>
        </is>
      </c>
      <c r="B25" s="100" t="n">
        <v>0</v>
      </c>
      <c r="C25" s="100" t="n">
        <v>0</v>
      </c>
      <c r="D25" s="100" t="n">
        <v>0</v>
      </c>
      <c r="E25" s="100" t="n">
        <v>0</v>
      </c>
      <c r="F25" s="100" t="n">
        <v>0</v>
      </c>
      <c r="G25" s="100" t="n">
        <v>0</v>
      </c>
      <c r="H25" s="100" t="n">
        <v>0</v>
      </c>
      <c r="I25" s="100" t="n">
        <v>0</v>
      </c>
      <c r="J25" s="100" t="n">
        <v>0</v>
      </c>
      <c r="K25" s="100" t="n">
        <v>0</v>
      </c>
      <c r="L25" s="100" t="n">
        <v>0</v>
      </c>
      <c r="M25" s="100" t="n">
        <v>0</v>
      </c>
      <c r="N25" s="87">
        <f>N21*Inputs!B38</f>
        <v/>
      </c>
      <c r="O25" s="87">
        <f>O21*Inputs!B38</f>
        <v/>
      </c>
      <c r="P25" s="87">
        <f>P21*Inputs!B38</f>
        <v/>
      </c>
      <c r="Q25" s="87">
        <f>Q21*Inputs!B38</f>
        <v/>
      </c>
      <c r="R25" s="87">
        <f>R21*Inputs!B38</f>
        <v/>
      </c>
      <c r="S25" s="87">
        <f>S21*Inputs!B38</f>
        <v/>
      </c>
      <c r="T25" s="87">
        <f>T21*Inputs!B38</f>
        <v/>
      </c>
      <c r="U25" s="87">
        <f>U21*Inputs!B38</f>
        <v/>
      </c>
      <c r="V25" s="87">
        <f>V21*Inputs!B38</f>
        <v/>
      </c>
      <c r="W25" s="87">
        <f>W21*Inputs!B38</f>
        <v/>
      </c>
      <c r="X25" s="87">
        <f>X21*Inputs!B38</f>
        <v/>
      </c>
      <c r="Y25" s="87">
        <f>Y21*Inputs!B38</f>
        <v/>
      </c>
      <c r="Z25" s="87">
        <f>Z21*Inputs!B38</f>
        <v/>
      </c>
      <c r="AA25" s="87">
        <f>AA21*Inputs!B38</f>
        <v/>
      </c>
      <c r="AB25" s="87">
        <f>AB21*Inputs!B38</f>
        <v/>
      </c>
      <c r="AC25" s="87">
        <f>AC21*Inputs!B38</f>
        <v/>
      </c>
      <c r="AD25" s="87">
        <f>AD21*Inputs!B38</f>
        <v/>
      </c>
      <c r="AE25" s="87">
        <f>AE21*Inputs!B38</f>
        <v/>
      </c>
      <c r="AF25" s="87">
        <f>AF21*Inputs!B38</f>
        <v/>
      </c>
      <c r="AG25" s="87">
        <f>AG21*Inputs!B38</f>
        <v/>
      </c>
      <c r="AH25" s="87">
        <f>AH21*Inputs!B38</f>
        <v/>
      </c>
      <c r="AI25" s="87">
        <f>AI21*Inputs!B38</f>
        <v/>
      </c>
      <c r="AJ25" s="87">
        <f>AJ21*Inputs!B38</f>
        <v/>
      </c>
      <c r="AK25" s="87">
        <f>AK21*Inputs!B38</f>
        <v/>
      </c>
      <c r="AL25" s="87">
        <f>AL21*Inputs!B38</f>
        <v/>
      </c>
      <c r="AM25" s="87">
        <f>AM21*Inputs!B38</f>
        <v/>
      </c>
      <c r="AN25" s="87">
        <f>AN21*Inputs!B38</f>
        <v/>
      </c>
      <c r="AO25" s="87">
        <f>AO21*Inputs!B38</f>
        <v/>
      </c>
      <c r="AP25" s="87">
        <f>AP21*Inputs!B38</f>
        <v/>
      </c>
      <c r="AQ25" s="87">
        <f>AQ21*Inputs!B38</f>
        <v/>
      </c>
      <c r="AR25" s="87">
        <f>AR21*Inputs!B38</f>
        <v/>
      </c>
      <c r="AS25" s="87">
        <f>AS21*Inputs!B38</f>
        <v/>
      </c>
      <c r="AT25" s="87">
        <f>AT21*Inputs!B38</f>
        <v/>
      </c>
      <c r="AU25" s="87">
        <f>AU21*Inputs!B38</f>
        <v/>
      </c>
      <c r="AV25" s="87">
        <f>AV21*Inputs!B38</f>
        <v/>
      </c>
      <c r="AW25" s="87">
        <f>AW21*Inputs!B38</f>
        <v/>
      </c>
      <c r="AX25" s="87">
        <f>AX21*Inputs!B38</f>
        <v/>
      </c>
      <c r="AY25" s="87">
        <f>AY21*Inputs!B38</f>
        <v/>
      </c>
      <c r="AZ25" s="87">
        <f>AZ21*Inputs!B38</f>
        <v/>
      </c>
      <c r="BA25" s="87">
        <f>BA21*Inputs!B38</f>
        <v/>
      </c>
      <c r="BB25" s="87">
        <f>BB21*Inputs!B38</f>
        <v/>
      </c>
      <c r="BC25" s="87">
        <f>BC21*Inputs!B38</f>
        <v/>
      </c>
      <c r="BD25" s="87">
        <f>BD21*Inputs!B38</f>
        <v/>
      </c>
      <c r="BE25" s="87">
        <f>BE21*Inputs!B38</f>
        <v/>
      </c>
      <c r="BF25" s="87">
        <f>BF21*Inputs!B38</f>
        <v/>
      </c>
      <c r="BG25" s="87">
        <f>BG21*Inputs!B38</f>
        <v/>
      </c>
      <c r="BH25" s="87">
        <f>BH21*Inputs!B38</f>
        <v/>
      </c>
      <c r="BI25" s="161">
        <f>BI21*Inputs!B38</f>
        <v/>
      </c>
    </row>
    <row r="26">
      <c r="A26" s="38" t="inlineStr">
        <is>
          <t>Swap Fee Net Revenue to RGT (oz)</t>
        </is>
      </c>
      <c r="B26" s="100" t="n">
        <v>0</v>
      </c>
      <c r="C26" s="100" t="n">
        <v>0</v>
      </c>
      <c r="D26" s="100" t="n">
        <v>0</v>
      </c>
      <c r="E26" s="100" t="n">
        <v>0</v>
      </c>
      <c r="F26" s="100" t="n">
        <v>0</v>
      </c>
      <c r="G26" s="100" t="n">
        <v>0</v>
      </c>
      <c r="H26" s="100" t="n">
        <v>0</v>
      </c>
      <c r="I26" s="100" t="n">
        <v>0</v>
      </c>
      <c r="J26" s="100" t="n">
        <v>0</v>
      </c>
      <c r="K26" s="100" t="n">
        <v>0</v>
      </c>
      <c r="L26" s="100" t="n">
        <v>0</v>
      </c>
      <c r="M26" s="100" t="n">
        <v>0</v>
      </c>
      <c r="N26" s="87">
        <f>N25*N14</f>
        <v/>
      </c>
      <c r="O26" s="87">
        <f>O25*O14</f>
        <v/>
      </c>
      <c r="P26" s="87">
        <f>P25*P14</f>
        <v/>
      </c>
      <c r="Q26" s="87">
        <f>Q25*Q14</f>
        <v/>
      </c>
      <c r="R26" s="87">
        <f>R25*R14</f>
        <v/>
      </c>
      <c r="S26" s="87">
        <f>S25*S14</f>
        <v/>
      </c>
      <c r="T26" s="87">
        <f>T25*T14</f>
        <v/>
      </c>
      <c r="U26" s="87">
        <f>U25*U14</f>
        <v/>
      </c>
      <c r="V26" s="87">
        <f>V25*V14</f>
        <v/>
      </c>
      <c r="W26" s="87">
        <f>W25*W14</f>
        <v/>
      </c>
      <c r="X26" s="87">
        <f>X25*X14</f>
        <v/>
      </c>
      <c r="Y26" s="87">
        <f>Y25*Y14</f>
        <v/>
      </c>
      <c r="Z26" s="87">
        <f>Z25*Z14</f>
        <v/>
      </c>
      <c r="AA26" s="87">
        <f>AA25*AA14</f>
        <v/>
      </c>
      <c r="AB26" s="87">
        <f>AB25*AB14</f>
        <v/>
      </c>
      <c r="AC26" s="87">
        <f>AC25*AC14</f>
        <v/>
      </c>
      <c r="AD26" s="87">
        <f>AD25*AD14</f>
        <v/>
      </c>
      <c r="AE26" s="87">
        <f>AE25*AE14</f>
        <v/>
      </c>
      <c r="AF26" s="87">
        <f>AF25*AF14</f>
        <v/>
      </c>
      <c r="AG26" s="87">
        <f>AG25*AG14</f>
        <v/>
      </c>
      <c r="AH26" s="87">
        <f>AH25*AH14</f>
        <v/>
      </c>
      <c r="AI26" s="87">
        <f>AI25*AI14</f>
        <v/>
      </c>
      <c r="AJ26" s="87">
        <f>AJ25*AJ14</f>
        <v/>
      </c>
      <c r="AK26" s="87">
        <f>AK25*AK14</f>
        <v/>
      </c>
      <c r="AL26" s="87">
        <f>AL25*AL14</f>
        <v/>
      </c>
      <c r="AM26" s="87">
        <f>AM25*AM14</f>
        <v/>
      </c>
      <c r="AN26" s="87">
        <f>AN25*AN14</f>
        <v/>
      </c>
      <c r="AO26" s="87">
        <f>AO25*AO14</f>
        <v/>
      </c>
      <c r="AP26" s="87">
        <f>AP25*AP14</f>
        <v/>
      </c>
      <c r="AQ26" s="87">
        <f>AQ25*AQ14</f>
        <v/>
      </c>
      <c r="AR26" s="87">
        <f>AR25*AR14</f>
        <v/>
      </c>
      <c r="AS26" s="87">
        <f>AS25*AS14</f>
        <v/>
      </c>
      <c r="AT26" s="87">
        <f>AT25*AT14</f>
        <v/>
      </c>
      <c r="AU26" s="87">
        <f>AU25*AU14</f>
        <v/>
      </c>
      <c r="AV26" s="87">
        <f>AV25*AV14</f>
        <v/>
      </c>
      <c r="AW26" s="87">
        <f>AW25*AW14</f>
        <v/>
      </c>
      <c r="AX26" s="87">
        <f>AX25*AX14</f>
        <v/>
      </c>
      <c r="AY26" s="87">
        <f>AY25*AY14</f>
        <v/>
      </c>
      <c r="AZ26" s="87">
        <f>AZ25*AZ14</f>
        <v/>
      </c>
      <c r="BA26" s="87">
        <f>BA25*BA14</f>
        <v/>
      </c>
      <c r="BB26" s="87">
        <f>BB25*BB14</f>
        <v/>
      </c>
      <c r="BC26" s="87">
        <f>BC25*BC14</f>
        <v/>
      </c>
      <c r="BD26" s="87">
        <f>BD25*BD14</f>
        <v/>
      </c>
      <c r="BE26" s="87">
        <f>BE25*BE14</f>
        <v/>
      </c>
      <c r="BF26" s="87">
        <f>BF25*BF14</f>
        <v/>
      </c>
      <c r="BG26" s="87">
        <f>BG25*BG14</f>
        <v/>
      </c>
      <c r="BH26" s="87">
        <f>BH25*BH14</f>
        <v/>
      </c>
      <c r="BI26" s="161">
        <f>BI25*BI14</f>
        <v/>
      </c>
    </row>
    <row r="27">
      <c r="A27" s="38" t="inlineStr">
        <is>
          <t>MRR from Token Taxes &amp; Swap Fees (oz)</t>
        </is>
      </c>
      <c r="B27" s="100" t="n">
        <v>0</v>
      </c>
      <c r="C27" s="100" t="n">
        <v>0</v>
      </c>
      <c r="D27" s="100" t="n">
        <v>0</v>
      </c>
      <c r="E27" s="100" t="n">
        <v>0</v>
      </c>
      <c r="F27" s="100" t="n">
        <v>0</v>
      </c>
      <c r="G27" s="100" t="n">
        <v>0</v>
      </c>
      <c r="H27" s="100" t="n">
        <v>0</v>
      </c>
      <c r="I27" s="100" t="n">
        <v>0</v>
      </c>
      <c r="J27" s="100" t="n">
        <v>0</v>
      </c>
      <c r="K27" s="100" t="n">
        <v>0</v>
      </c>
      <c r="L27" s="100" t="n">
        <v>0</v>
      </c>
      <c r="M27" s="100" t="n">
        <v>0</v>
      </c>
      <c r="N27" s="87">
        <f>N22+N26</f>
        <v/>
      </c>
      <c r="O27" s="87">
        <f>O22+O26</f>
        <v/>
      </c>
      <c r="P27" s="87">
        <f>P22+P26</f>
        <v/>
      </c>
      <c r="Q27" s="87">
        <f>Q22+Q26</f>
        <v/>
      </c>
      <c r="R27" s="87">
        <f>R22+R26</f>
        <v/>
      </c>
      <c r="S27" s="87">
        <f>S22+S26</f>
        <v/>
      </c>
      <c r="T27" s="87">
        <f>T22+T26</f>
        <v/>
      </c>
      <c r="U27" s="87">
        <f>U22+U26</f>
        <v/>
      </c>
      <c r="V27" s="87">
        <f>V22+V26</f>
        <v/>
      </c>
      <c r="W27" s="87">
        <f>W22+W26</f>
        <v/>
      </c>
      <c r="X27" s="87">
        <f>X22+X26</f>
        <v/>
      </c>
      <c r="Y27" s="87">
        <f>Y22+Y26</f>
        <v/>
      </c>
      <c r="Z27" s="87">
        <f>Z22+Z26</f>
        <v/>
      </c>
      <c r="AA27" s="87">
        <f>AA22+AA26</f>
        <v/>
      </c>
      <c r="AB27" s="87">
        <f>AB22+AB26</f>
        <v/>
      </c>
      <c r="AC27" s="87">
        <f>AC22+AC26</f>
        <v/>
      </c>
      <c r="AD27" s="87">
        <f>AD22+AD26</f>
        <v/>
      </c>
      <c r="AE27" s="87">
        <f>AE22+AE26</f>
        <v/>
      </c>
      <c r="AF27" s="87">
        <f>AF22+AF26</f>
        <v/>
      </c>
      <c r="AG27" s="87">
        <f>AG22+AG26</f>
        <v/>
      </c>
      <c r="AH27" s="87">
        <f>AH22+AH26</f>
        <v/>
      </c>
      <c r="AI27" s="87">
        <f>AI22+AI26</f>
        <v/>
      </c>
      <c r="AJ27" s="87">
        <f>AJ22+AJ26</f>
        <v/>
      </c>
      <c r="AK27" s="87">
        <f>AK22+AK26</f>
        <v/>
      </c>
      <c r="AL27" s="87">
        <f>AL22+AL26</f>
        <v/>
      </c>
      <c r="AM27" s="87">
        <f>AM22+AM26</f>
        <v/>
      </c>
      <c r="AN27" s="87">
        <f>AN22+AN26</f>
        <v/>
      </c>
      <c r="AO27" s="87">
        <f>AO22+AO26</f>
        <v/>
      </c>
      <c r="AP27" s="87">
        <f>AP22+AP26</f>
        <v/>
      </c>
      <c r="AQ27" s="87">
        <f>AQ22+AQ26</f>
        <v/>
      </c>
      <c r="AR27" s="87">
        <f>AR22+AR26</f>
        <v/>
      </c>
      <c r="AS27" s="87">
        <f>AS22+AS26</f>
        <v/>
      </c>
      <c r="AT27" s="87">
        <f>AT22+AT26</f>
        <v/>
      </c>
      <c r="AU27" s="87">
        <f>AU22+AU26</f>
        <v/>
      </c>
      <c r="AV27" s="87">
        <f>AV22+AV26</f>
        <v/>
      </c>
      <c r="AW27" s="87">
        <f>AW22+AW26</f>
        <v/>
      </c>
      <c r="AX27" s="87">
        <f>AX22+AX26</f>
        <v/>
      </c>
      <c r="AY27" s="87">
        <f>AY22+AY26</f>
        <v/>
      </c>
      <c r="AZ27" s="87">
        <f>AZ22+AZ26</f>
        <v/>
      </c>
      <c r="BA27" s="87">
        <f>BA22+BA26</f>
        <v/>
      </c>
      <c r="BB27" s="87">
        <f>BB22+BB26</f>
        <v/>
      </c>
      <c r="BC27" s="87">
        <f>BC22+BC26</f>
        <v/>
      </c>
      <c r="BD27" s="87">
        <f>BD22+BD26</f>
        <v/>
      </c>
      <c r="BE27" s="87">
        <f>BE22+BE26</f>
        <v/>
      </c>
      <c r="BF27" s="87">
        <f>BF22+BF26</f>
        <v/>
      </c>
      <c r="BG27" s="87">
        <f>BG22+BG26</f>
        <v/>
      </c>
      <c r="BH27" s="87">
        <f>BH22+BH26</f>
        <v/>
      </c>
      <c r="BI27" s="161">
        <f>BI22+BI26</f>
        <v/>
      </c>
    </row>
    <row r="28">
      <c r="A28" s="148" t="n"/>
      <c r="B28" s="128" t="n"/>
      <c r="C28" s="128" t="n"/>
      <c r="D28" s="128" t="n"/>
      <c r="E28" s="128" t="n"/>
      <c r="F28" s="128" t="n"/>
      <c r="G28" s="220" t="n"/>
      <c r="H28" s="220" t="n"/>
      <c r="I28" s="220" t="n"/>
      <c r="J28" s="220" t="n"/>
      <c r="K28" s="220" t="n"/>
      <c r="L28" s="220" t="n"/>
      <c r="M28" s="220" t="n"/>
      <c r="N28" s="220" t="n"/>
      <c r="O28" s="220" t="n"/>
      <c r="P28" s="220" t="n"/>
      <c r="Q28" s="220" t="n"/>
      <c r="R28" s="220" t="n"/>
      <c r="S28" s="220" t="n"/>
      <c r="T28" s="220" t="n"/>
      <c r="U28" s="220" t="n"/>
      <c r="V28" s="220" t="n"/>
      <c r="W28" s="289" t="n"/>
      <c r="X28" s="289" t="n"/>
      <c r="Y28" s="289" t="n"/>
      <c r="Z28" s="289" t="n"/>
      <c r="AA28" s="289" t="n"/>
      <c r="AB28" s="289" t="n"/>
      <c r="AC28" s="289" t="n"/>
      <c r="AD28" s="289" t="n"/>
      <c r="AE28" s="289" t="n"/>
      <c r="AF28" s="289" t="n"/>
      <c r="AG28" s="289" t="n"/>
      <c r="AH28" s="289" t="n"/>
      <c r="AI28" s="289" t="n"/>
      <c r="AJ28" s="289" t="n"/>
      <c r="AK28" s="289" t="n"/>
      <c r="AL28" s="289" t="n"/>
      <c r="AM28" s="289" t="n"/>
      <c r="AN28" s="289" t="n"/>
      <c r="AO28" s="289" t="n"/>
      <c r="AP28" s="289" t="n"/>
      <c r="AQ28" s="289" t="n"/>
      <c r="AR28" s="289" t="n"/>
      <c r="AS28" s="289" t="n"/>
      <c r="AT28" s="289" t="n"/>
      <c r="AU28" s="289" t="n"/>
      <c r="AV28" s="289" t="n"/>
      <c r="AW28" s="289" t="n"/>
      <c r="AX28" s="289" t="n"/>
      <c r="AY28" s="289" t="n"/>
      <c r="AZ28" s="289" t="n"/>
      <c r="BA28" s="289" t="n"/>
      <c r="BB28" s="289" t="n"/>
      <c r="BC28" s="289" t="n"/>
      <c r="BD28" s="289" t="n"/>
      <c r="BE28" s="289" t="n"/>
      <c r="BF28" s="289" t="n"/>
      <c r="BG28" s="289" t="n"/>
      <c r="BH28" s="289" t="n"/>
      <c r="BI28" s="188" t="n"/>
    </row>
    <row r="29">
      <c r="A29" s="38" t="inlineStr">
        <is>
          <t>Token Transfer Fee Gross Revenue ($)</t>
        </is>
      </c>
      <c r="B29" s="100" t="n">
        <v>0</v>
      </c>
      <c r="C29" s="100" t="n">
        <v>0</v>
      </c>
      <c r="D29" s="100" t="n">
        <v>0</v>
      </c>
      <c r="E29" s="100" t="n">
        <v>0</v>
      </c>
      <c r="F29" s="100" t="n">
        <v>0</v>
      </c>
      <c r="G29" s="100" t="n">
        <v>0</v>
      </c>
      <c r="H29" s="100" t="n">
        <v>0</v>
      </c>
      <c r="I29" s="100" t="n">
        <v>0</v>
      </c>
      <c r="J29" s="100" t="n">
        <v>0</v>
      </c>
      <c r="K29" s="133">
        <f>K22*XAUconfig!K3</f>
        <v/>
      </c>
      <c r="L29" s="133">
        <f>L22*XAUconfig!L3</f>
        <v/>
      </c>
      <c r="M29" s="133">
        <f>M22*XAUconfig!M3</f>
        <v/>
      </c>
      <c r="N29" s="133">
        <f>N22*XAUconfig!N3</f>
        <v/>
      </c>
      <c r="O29" s="133">
        <f>O22*XAUconfig!O3</f>
        <v/>
      </c>
      <c r="P29" s="133">
        <f>P22*XAUconfig!P3</f>
        <v/>
      </c>
      <c r="Q29" s="133">
        <f>Q22*XAUconfig!Q3</f>
        <v/>
      </c>
      <c r="R29" s="133">
        <f>R22*XAUconfig!R3</f>
        <v/>
      </c>
      <c r="S29" s="133">
        <f>S22*XAUconfig!S3</f>
        <v/>
      </c>
      <c r="T29" s="133">
        <f>T22*XAUconfig!T3</f>
        <v/>
      </c>
      <c r="U29" s="133">
        <f>U22*XAUconfig!U3</f>
        <v/>
      </c>
      <c r="V29" s="133">
        <f>V22*XAUconfig!V3</f>
        <v/>
      </c>
      <c r="W29" s="133">
        <f>W22*XAUconfig!W3</f>
        <v/>
      </c>
      <c r="X29" s="133">
        <f>X22*XAUconfig!X3</f>
        <v/>
      </c>
      <c r="Y29" s="133">
        <f>Y22*XAUconfig!Y3</f>
        <v/>
      </c>
      <c r="Z29" s="133">
        <f>Z22*XAUconfig!Z3</f>
        <v/>
      </c>
      <c r="AA29" s="133">
        <f>AA22*XAUconfig!AA3</f>
        <v/>
      </c>
      <c r="AB29" s="133">
        <f>AB22*XAUconfig!AB3</f>
        <v/>
      </c>
      <c r="AC29" s="133">
        <f>AC22*XAUconfig!AC3</f>
        <v/>
      </c>
      <c r="AD29" s="133">
        <f>AD22*XAUconfig!AD3</f>
        <v/>
      </c>
      <c r="AE29" s="133">
        <f>AE22*XAUconfig!AE3</f>
        <v/>
      </c>
      <c r="AF29" s="133">
        <f>AF22*XAUconfig!AF3</f>
        <v/>
      </c>
      <c r="AG29" s="133">
        <f>AG22*XAUconfig!AG3</f>
        <v/>
      </c>
      <c r="AH29" s="133">
        <f>AH22*XAUconfig!AH3</f>
        <v/>
      </c>
      <c r="AI29" s="133">
        <f>AI22*XAUconfig!AI3</f>
        <v/>
      </c>
      <c r="AJ29" s="133">
        <f>AJ22*XAUconfig!AJ3</f>
        <v/>
      </c>
      <c r="AK29" s="133">
        <f>AK22*XAUconfig!AK3</f>
        <v/>
      </c>
      <c r="AL29" s="133">
        <f>AL22*XAUconfig!AL3</f>
        <v/>
      </c>
      <c r="AM29" s="133">
        <f>AM22*XAUconfig!AM3</f>
        <v/>
      </c>
      <c r="AN29" s="133">
        <f>AN22*XAUconfig!AN3</f>
        <v/>
      </c>
      <c r="AO29" s="133">
        <f>AO22*XAUconfig!AO3</f>
        <v/>
      </c>
      <c r="AP29" s="133">
        <f>AP22*XAUconfig!AP3</f>
        <v/>
      </c>
      <c r="AQ29" s="133">
        <f>AQ22*XAUconfig!AQ3</f>
        <v/>
      </c>
      <c r="AR29" s="133">
        <f>AR22*XAUconfig!AR3</f>
        <v/>
      </c>
      <c r="AS29" s="133">
        <f>AS22*XAUconfig!AS3</f>
        <v/>
      </c>
      <c r="AT29" s="133">
        <f>AT22*XAUconfig!AT3</f>
        <v/>
      </c>
      <c r="AU29" s="133">
        <f>AU22*XAUconfig!AU3</f>
        <v/>
      </c>
      <c r="AV29" s="133">
        <f>AV22*XAUconfig!AV3</f>
        <v/>
      </c>
      <c r="AW29" s="133">
        <f>AW22*XAUconfig!AW3</f>
        <v/>
      </c>
      <c r="AX29" s="133">
        <f>AX22*XAUconfig!AX3</f>
        <v/>
      </c>
      <c r="AY29" s="133">
        <f>AY22*XAUconfig!AY3</f>
        <v/>
      </c>
      <c r="AZ29" s="133">
        <f>AZ22*XAUconfig!AZ3</f>
        <v/>
      </c>
      <c r="BA29" s="133">
        <f>BA22*XAUconfig!BA3</f>
        <v/>
      </c>
      <c r="BB29" s="133">
        <f>BB22*XAUconfig!BB3</f>
        <v/>
      </c>
      <c r="BC29" s="133">
        <f>BC22*XAUconfig!BC3</f>
        <v/>
      </c>
      <c r="BD29" s="133">
        <f>BD22*XAUconfig!BD3</f>
        <v/>
      </c>
      <c r="BE29" s="133">
        <f>BE22*XAUconfig!BE3</f>
        <v/>
      </c>
      <c r="BF29" s="133">
        <f>BF22*XAUconfig!BF3</f>
        <v/>
      </c>
      <c r="BG29" s="133">
        <f>BG22*XAUconfig!BG3</f>
        <v/>
      </c>
      <c r="BH29" s="133">
        <f>BH22*XAUconfig!BH3</f>
        <v/>
      </c>
      <c r="BI29" s="135">
        <f>BI22*XAUconfig!BI3</f>
        <v/>
      </c>
    </row>
    <row r="30">
      <c r="A30" s="38" t="inlineStr">
        <is>
          <t>Token Transfer Fee Net Revenue to RAF ($)</t>
        </is>
      </c>
      <c r="B30" s="100" t="n">
        <v>0</v>
      </c>
      <c r="C30" s="100" t="n">
        <v>0</v>
      </c>
      <c r="D30" s="100" t="n">
        <v>0</v>
      </c>
      <c r="E30" s="100" t="n">
        <v>0</v>
      </c>
      <c r="F30" s="100" t="n">
        <v>0</v>
      </c>
      <c r="G30" s="100" t="n">
        <v>0</v>
      </c>
      <c r="H30" s="100" t="n">
        <v>0</v>
      </c>
      <c r="I30" s="100" t="n">
        <v>0</v>
      </c>
      <c r="J30" s="100" t="n">
        <v>0</v>
      </c>
      <c r="K30" s="133">
        <f>K23*XAUconfig!K3</f>
        <v/>
      </c>
      <c r="L30" s="133">
        <f>L23*XAUconfig!L3</f>
        <v/>
      </c>
      <c r="M30" s="133">
        <f>M23*XAUconfig!M3</f>
        <v/>
      </c>
      <c r="N30" s="133">
        <f>N23*XAUconfig!N3</f>
        <v/>
      </c>
      <c r="O30" s="133">
        <f>O23*XAUconfig!O3</f>
        <v/>
      </c>
      <c r="P30" s="133">
        <f>P23*XAUconfig!P3</f>
        <v/>
      </c>
      <c r="Q30" s="133">
        <f>Q23*XAUconfig!Q3</f>
        <v/>
      </c>
      <c r="R30" s="133">
        <f>R23*XAUconfig!R3</f>
        <v/>
      </c>
      <c r="S30" s="133">
        <f>S23*XAUconfig!S3</f>
        <v/>
      </c>
      <c r="T30" s="133">
        <f>T23*XAUconfig!T3</f>
        <v/>
      </c>
      <c r="U30" s="133">
        <f>U23*XAUconfig!U3</f>
        <v/>
      </c>
      <c r="V30" s="133">
        <f>V23*XAUconfig!V3</f>
        <v/>
      </c>
      <c r="W30" s="133">
        <f>W23*XAUconfig!W3</f>
        <v/>
      </c>
      <c r="X30" s="133">
        <f>X23*XAUconfig!X3</f>
        <v/>
      </c>
      <c r="Y30" s="133">
        <f>Y23*XAUconfig!Y3</f>
        <v/>
      </c>
      <c r="Z30" s="133">
        <f>Z23*XAUconfig!Z3</f>
        <v/>
      </c>
      <c r="AA30" s="133">
        <f>AA23*XAUconfig!AA3</f>
        <v/>
      </c>
      <c r="AB30" s="133">
        <f>AB23*XAUconfig!AB3</f>
        <v/>
      </c>
      <c r="AC30" s="133">
        <f>AC23*XAUconfig!AC3</f>
        <v/>
      </c>
      <c r="AD30" s="133">
        <f>AD23*XAUconfig!AD3</f>
        <v/>
      </c>
      <c r="AE30" s="133">
        <f>AE23*XAUconfig!AE3</f>
        <v/>
      </c>
      <c r="AF30" s="133">
        <f>AF23*XAUconfig!AF3</f>
        <v/>
      </c>
      <c r="AG30" s="133">
        <f>AG23*XAUconfig!AG3</f>
        <v/>
      </c>
      <c r="AH30" s="133">
        <f>AH23*XAUconfig!AH3</f>
        <v/>
      </c>
      <c r="AI30" s="133">
        <f>AI23*XAUconfig!AI3</f>
        <v/>
      </c>
      <c r="AJ30" s="133">
        <f>AJ23*XAUconfig!AJ3</f>
        <v/>
      </c>
      <c r="AK30" s="133">
        <f>AK23*XAUconfig!AK3</f>
        <v/>
      </c>
      <c r="AL30" s="133">
        <f>AL23*XAUconfig!AL3</f>
        <v/>
      </c>
      <c r="AM30" s="133">
        <f>AM23*XAUconfig!AM3</f>
        <v/>
      </c>
      <c r="AN30" s="133">
        <f>AN23*XAUconfig!AN3</f>
        <v/>
      </c>
      <c r="AO30" s="133">
        <f>AO23*XAUconfig!AO3</f>
        <v/>
      </c>
      <c r="AP30" s="133">
        <f>AP23*XAUconfig!AP3</f>
        <v/>
      </c>
      <c r="AQ30" s="133">
        <f>AQ23*XAUconfig!AQ3</f>
        <v/>
      </c>
      <c r="AR30" s="133">
        <f>AR23*XAUconfig!AR3</f>
        <v/>
      </c>
      <c r="AS30" s="133">
        <f>AS23*XAUconfig!AS3</f>
        <v/>
      </c>
      <c r="AT30" s="133">
        <f>AT23*XAUconfig!AT3</f>
        <v/>
      </c>
      <c r="AU30" s="133">
        <f>AU23*XAUconfig!AU3</f>
        <v/>
      </c>
      <c r="AV30" s="133">
        <f>AV23*XAUconfig!AV3</f>
        <v/>
      </c>
      <c r="AW30" s="133">
        <f>AW23*XAUconfig!AW3</f>
        <v/>
      </c>
      <c r="AX30" s="133">
        <f>AX23*XAUconfig!AX3</f>
        <v/>
      </c>
      <c r="AY30" s="133">
        <f>AY23*XAUconfig!AY3</f>
        <v/>
      </c>
      <c r="AZ30" s="133">
        <f>AZ23*XAUconfig!AZ3</f>
        <v/>
      </c>
      <c r="BA30" s="133">
        <f>BA23*XAUconfig!BA3</f>
        <v/>
      </c>
      <c r="BB30" s="133">
        <f>BB23*XAUconfig!BB3</f>
        <v/>
      </c>
      <c r="BC30" s="133">
        <f>BC23*XAUconfig!BC3</f>
        <v/>
      </c>
      <c r="BD30" s="133">
        <f>BD23*XAUconfig!BD3</f>
        <v/>
      </c>
      <c r="BE30" s="133">
        <f>BE23*XAUconfig!BE3</f>
        <v/>
      </c>
      <c r="BF30" s="133">
        <f>BF23*XAUconfig!BF3</f>
        <v/>
      </c>
      <c r="BG30" s="133">
        <f>BG23*XAUconfig!BG3</f>
        <v/>
      </c>
      <c r="BH30" s="133">
        <f>BH23*XAUconfig!BH3</f>
        <v/>
      </c>
      <c r="BI30" s="135">
        <f>BI23*XAUconfig!BI3</f>
        <v/>
      </c>
    </row>
    <row r="31">
      <c r="A31" s="38" t="inlineStr">
        <is>
          <t>Token Transfer Fee Net Revenue to RGT ($)</t>
        </is>
      </c>
      <c r="B31" s="100" t="n">
        <v>0</v>
      </c>
      <c r="C31" s="100" t="n">
        <v>0</v>
      </c>
      <c r="D31" s="100" t="n">
        <v>0</v>
      </c>
      <c r="E31" s="100" t="n">
        <v>0</v>
      </c>
      <c r="F31" s="100" t="n">
        <v>0</v>
      </c>
      <c r="G31" s="100" t="n">
        <v>0</v>
      </c>
      <c r="H31" s="100" t="n">
        <v>0</v>
      </c>
      <c r="I31" s="100" t="n">
        <v>0</v>
      </c>
      <c r="J31" s="100" t="n">
        <v>0</v>
      </c>
      <c r="K31" s="133">
        <f>K24*XAUconfig!K3</f>
        <v/>
      </c>
      <c r="L31" s="133">
        <f>L24*XAUconfig!L3</f>
        <v/>
      </c>
      <c r="M31" s="133">
        <f>M24*XAUconfig!M3</f>
        <v/>
      </c>
      <c r="N31" s="133">
        <f>N24*XAUconfig!N3</f>
        <v/>
      </c>
      <c r="O31" s="133">
        <f>O24*XAUconfig!O3</f>
        <v/>
      </c>
      <c r="P31" s="133">
        <f>P24*XAUconfig!P3</f>
        <v/>
      </c>
      <c r="Q31" s="133">
        <f>Q24*XAUconfig!Q3</f>
        <v/>
      </c>
      <c r="R31" s="133">
        <f>R24*XAUconfig!R3</f>
        <v/>
      </c>
      <c r="S31" s="133">
        <f>S24*XAUconfig!S3</f>
        <v/>
      </c>
      <c r="T31" s="133">
        <f>T24*XAUconfig!T3</f>
        <v/>
      </c>
      <c r="U31" s="133">
        <f>U24*XAUconfig!U3</f>
        <v/>
      </c>
      <c r="V31" s="133">
        <f>V24*XAUconfig!V3</f>
        <v/>
      </c>
      <c r="W31" s="133">
        <f>W24*XAUconfig!W3</f>
        <v/>
      </c>
      <c r="X31" s="133">
        <f>X24*XAUconfig!X3</f>
        <v/>
      </c>
      <c r="Y31" s="133">
        <f>Y24*XAUconfig!Y3</f>
        <v/>
      </c>
      <c r="Z31" s="133">
        <f>Z24*XAUconfig!Z3</f>
        <v/>
      </c>
      <c r="AA31" s="133">
        <f>AA24*XAUconfig!AA3</f>
        <v/>
      </c>
      <c r="AB31" s="133">
        <f>AB24*XAUconfig!AB3</f>
        <v/>
      </c>
      <c r="AC31" s="133">
        <f>AC24*XAUconfig!AC3</f>
        <v/>
      </c>
      <c r="AD31" s="133">
        <f>AD24*XAUconfig!AD3</f>
        <v/>
      </c>
      <c r="AE31" s="133">
        <f>AE24*XAUconfig!AE3</f>
        <v/>
      </c>
      <c r="AF31" s="133">
        <f>AF24*XAUconfig!AF3</f>
        <v/>
      </c>
      <c r="AG31" s="133">
        <f>AG24*XAUconfig!AG3</f>
        <v/>
      </c>
      <c r="AH31" s="133">
        <f>AH24*XAUconfig!AH3</f>
        <v/>
      </c>
      <c r="AI31" s="133">
        <f>AI24*XAUconfig!AI3</f>
        <v/>
      </c>
      <c r="AJ31" s="133">
        <f>AJ24*XAUconfig!AJ3</f>
        <v/>
      </c>
      <c r="AK31" s="133">
        <f>AK24*XAUconfig!AK3</f>
        <v/>
      </c>
      <c r="AL31" s="133">
        <f>AL24*XAUconfig!AL3</f>
        <v/>
      </c>
      <c r="AM31" s="133">
        <f>AM24*XAUconfig!AM3</f>
        <v/>
      </c>
      <c r="AN31" s="133">
        <f>AN24*XAUconfig!AN3</f>
        <v/>
      </c>
      <c r="AO31" s="133">
        <f>AO24*XAUconfig!AO3</f>
        <v/>
      </c>
      <c r="AP31" s="133">
        <f>AP24*XAUconfig!AP3</f>
        <v/>
      </c>
      <c r="AQ31" s="133">
        <f>AQ24*XAUconfig!AQ3</f>
        <v/>
      </c>
      <c r="AR31" s="133">
        <f>AR24*XAUconfig!AR3</f>
        <v/>
      </c>
      <c r="AS31" s="133">
        <f>AS24*XAUconfig!AS3</f>
        <v/>
      </c>
      <c r="AT31" s="133">
        <f>AT24*XAUconfig!AT3</f>
        <v/>
      </c>
      <c r="AU31" s="133">
        <f>AU24*XAUconfig!AU3</f>
        <v/>
      </c>
      <c r="AV31" s="133">
        <f>AV24*XAUconfig!AV3</f>
        <v/>
      </c>
      <c r="AW31" s="133">
        <f>AW24*XAUconfig!AW3</f>
        <v/>
      </c>
      <c r="AX31" s="133">
        <f>AX24*XAUconfig!AX3</f>
        <v/>
      </c>
      <c r="AY31" s="133">
        <f>AY24*XAUconfig!AY3</f>
        <v/>
      </c>
      <c r="AZ31" s="133">
        <f>AZ24*XAUconfig!AZ3</f>
        <v/>
      </c>
      <c r="BA31" s="133">
        <f>BA24*XAUconfig!BA3</f>
        <v/>
      </c>
      <c r="BB31" s="133">
        <f>BB24*XAUconfig!BB3</f>
        <v/>
      </c>
      <c r="BC31" s="133">
        <f>BC24*XAUconfig!BC3</f>
        <v/>
      </c>
      <c r="BD31" s="133">
        <f>BD24*XAUconfig!BD3</f>
        <v/>
      </c>
      <c r="BE31" s="133">
        <f>BE24*XAUconfig!BE3</f>
        <v/>
      </c>
      <c r="BF31" s="133">
        <f>BF24*XAUconfig!BF3</f>
        <v/>
      </c>
      <c r="BG31" s="133">
        <f>BG24*XAUconfig!BG3</f>
        <v/>
      </c>
      <c r="BH31" s="133">
        <f>BH24*XAUconfig!BH3</f>
        <v/>
      </c>
      <c r="BI31" s="135">
        <f>BI24*XAUconfig!BI3</f>
        <v/>
      </c>
    </row>
    <row r="32">
      <c r="A32" s="38" t="inlineStr">
        <is>
          <t>Swap Fee Gross Revenue ($)</t>
        </is>
      </c>
      <c r="B32" s="100" t="n">
        <v>0</v>
      </c>
      <c r="C32" s="100" t="n">
        <v>0</v>
      </c>
      <c r="D32" s="100" t="n">
        <v>0</v>
      </c>
      <c r="E32" s="100" t="n">
        <v>0</v>
      </c>
      <c r="F32" s="100" t="n">
        <v>0</v>
      </c>
      <c r="G32" s="100" t="n">
        <v>0</v>
      </c>
      <c r="H32" s="100" t="n">
        <v>0</v>
      </c>
      <c r="I32" s="100" t="n">
        <v>0</v>
      </c>
      <c r="J32" s="100" t="n">
        <v>0</v>
      </c>
      <c r="K32" s="133">
        <f>K25*XAUconfig!K3</f>
        <v/>
      </c>
      <c r="L32" s="133">
        <f>L25*XAUconfig!L3</f>
        <v/>
      </c>
      <c r="M32" s="133">
        <f>M25*XAUconfig!M3</f>
        <v/>
      </c>
      <c r="N32" s="133">
        <f>N25*XAUconfig!N3</f>
        <v/>
      </c>
      <c r="O32" s="133">
        <f>O25*XAUconfig!O3</f>
        <v/>
      </c>
      <c r="P32" s="133">
        <f>P25*XAUconfig!P3</f>
        <v/>
      </c>
      <c r="Q32" s="133">
        <f>Q25*XAUconfig!Q3</f>
        <v/>
      </c>
      <c r="R32" s="133">
        <f>R25*XAUconfig!R3</f>
        <v/>
      </c>
      <c r="S32" s="133">
        <f>S25*XAUconfig!S3</f>
        <v/>
      </c>
      <c r="T32" s="133">
        <f>T25*XAUconfig!T3</f>
        <v/>
      </c>
      <c r="U32" s="133">
        <f>U25*XAUconfig!U3</f>
        <v/>
      </c>
      <c r="V32" s="133">
        <f>V25*XAUconfig!V3</f>
        <v/>
      </c>
      <c r="W32" s="133">
        <f>W25*XAUconfig!W3</f>
        <v/>
      </c>
      <c r="X32" s="133">
        <f>X25*XAUconfig!X3</f>
        <v/>
      </c>
      <c r="Y32" s="133">
        <f>Y25*XAUconfig!Y3</f>
        <v/>
      </c>
      <c r="Z32" s="133">
        <f>Z25*XAUconfig!Z3</f>
        <v/>
      </c>
      <c r="AA32" s="133">
        <f>AA25*XAUconfig!AA3</f>
        <v/>
      </c>
      <c r="AB32" s="133">
        <f>AB25*XAUconfig!AB3</f>
        <v/>
      </c>
      <c r="AC32" s="133">
        <f>AC25*XAUconfig!AC3</f>
        <v/>
      </c>
      <c r="AD32" s="133">
        <f>AD25*XAUconfig!AD3</f>
        <v/>
      </c>
      <c r="AE32" s="133">
        <f>AE25*XAUconfig!AE3</f>
        <v/>
      </c>
      <c r="AF32" s="133">
        <f>AF25*XAUconfig!AF3</f>
        <v/>
      </c>
      <c r="AG32" s="133">
        <f>AG25*XAUconfig!AG3</f>
        <v/>
      </c>
      <c r="AH32" s="133">
        <f>AH25*XAUconfig!AH3</f>
        <v/>
      </c>
      <c r="AI32" s="133">
        <f>AI25*XAUconfig!AI3</f>
        <v/>
      </c>
      <c r="AJ32" s="133">
        <f>AJ25*XAUconfig!AJ3</f>
        <v/>
      </c>
      <c r="AK32" s="133">
        <f>AK25*XAUconfig!AK3</f>
        <v/>
      </c>
      <c r="AL32" s="133">
        <f>AL25*XAUconfig!AL3</f>
        <v/>
      </c>
      <c r="AM32" s="133">
        <f>AM25*XAUconfig!AM3</f>
        <v/>
      </c>
      <c r="AN32" s="133">
        <f>AN25*XAUconfig!AN3</f>
        <v/>
      </c>
      <c r="AO32" s="133">
        <f>AO25*XAUconfig!AO3</f>
        <v/>
      </c>
      <c r="AP32" s="133">
        <f>AP25*XAUconfig!AP3</f>
        <v/>
      </c>
      <c r="AQ32" s="133">
        <f>AQ25*XAUconfig!AQ3</f>
        <v/>
      </c>
      <c r="AR32" s="133">
        <f>AR25*XAUconfig!AR3</f>
        <v/>
      </c>
      <c r="AS32" s="133">
        <f>AS25*XAUconfig!AS3</f>
        <v/>
      </c>
      <c r="AT32" s="133">
        <f>AT25*XAUconfig!AT3</f>
        <v/>
      </c>
      <c r="AU32" s="133">
        <f>AU25*XAUconfig!AU3</f>
        <v/>
      </c>
      <c r="AV32" s="133">
        <f>AV25*XAUconfig!AV3</f>
        <v/>
      </c>
      <c r="AW32" s="133">
        <f>AW25*XAUconfig!AW3</f>
        <v/>
      </c>
      <c r="AX32" s="133">
        <f>AX25*XAUconfig!AX3</f>
        <v/>
      </c>
      <c r="AY32" s="133">
        <f>AY25*XAUconfig!AY3</f>
        <v/>
      </c>
      <c r="AZ32" s="133">
        <f>AZ25*XAUconfig!AZ3</f>
        <v/>
      </c>
      <c r="BA32" s="133">
        <f>BA25*XAUconfig!BA3</f>
        <v/>
      </c>
      <c r="BB32" s="133">
        <f>BB25*XAUconfig!BB3</f>
        <v/>
      </c>
      <c r="BC32" s="133">
        <f>BC25*XAUconfig!BC3</f>
        <v/>
      </c>
      <c r="BD32" s="133">
        <f>BD25*XAUconfig!BD3</f>
        <v/>
      </c>
      <c r="BE32" s="133">
        <f>BE25*XAUconfig!BE3</f>
        <v/>
      </c>
      <c r="BF32" s="133">
        <f>BF25*XAUconfig!BF3</f>
        <v/>
      </c>
      <c r="BG32" s="133">
        <f>BG25*XAUconfig!BG3</f>
        <v/>
      </c>
      <c r="BH32" s="133">
        <f>BH25*XAUconfig!BH3</f>
        <v/>
      </c>
      <c r="BI32" s="135">
        <f>BI25*XAUconfig!BI3</f>
        <v/>
      </c>
    </row>
    <row r="33">
      <c r="A33" s="38" t="inlineStr">
        <is>
          <t>Swap Fee Net Revenue to RGT ($)</t>
        </is>
      </c>
      <c r="B33" s="100" t="n">
        <v>0</v>
      </c>
      <c r="C33" s="100" t="n">
        <v>0</v>
      </c>
      <c r="D33" s="100" t="n">
        <v>0</v>
      </c>
      <c r="E33" s="100" t="n">
        <v>0</v>
      </c>
      <c r="F33" s="100" t="n">
        <v>0</v>
      </c>
      <c r="G33" s="100" t="n">
        <v>0</v>
      </c>
      <c r="H33" s="100" t="n">
        <v>0</v>
      </c>
      <c r="I33" s="100" t="n">
        <v>0</v>
      </c>
      <c r="J33" s="100" t="n">
        <v>0</v>
      </c>
      <c r="K33" s="133">
        <f>K26*XAUconfig!K3</f>
        <v/>
      </c>
      <c r="L33" s="133">
        <f>L26*XAUconfig!L3</f>
        <v/>
      </c>
      <c r="M33" s="133">
        <f>M26*XAUconfig!M3</f>
        <v/>
      </c>
      <c r="N33" s="133">
        <f>N26*XAUconfig!N3</f>
        <v/>
      </c>
      <c r="O33" s="133">
        <f>O26*XAUconfig!O3</f>
        <v/>
      </c>
      <c r="P33" s="133">
        <f>P26*XAUconfig!P3</f>
        <v/>
      </c>
      <c r="Q33" s="133">
        <f>Q26*XAUconfig!Q3</f>
        <v/>
      </c>
      <c r="R33" s="133">
        <f>R26*XAUconfig!R3</f>
        <v/>
      </c>
      <c r="S33" s="133">
        <f>S26*XAUconfig!S3</f>
        <v/>
      </c>
      <c r="T33" s="133">
        <f>T26*XAUconfig!T3</f>
        <v/>
      </c>
      <c r="U33" s="133">
        <f>U26*XAUconfig!U3</f>
        <v/>
      </c>
      <c r="V33" s="133">
        <f>V26*XAUconfig!V3</f>
        <v/>
      </c>
      <c r="W33" s="133">
        <f>W26*XAUconfig!W3</f>
        <v/>
      </c>
      <c r="X33" s="133">
        <f>X26*XAUconfig!X3</f>
        <v/>
      </c>
      <c r="Y33" s="133">
        <f>Y26*XAUconfig!Y3</f>
        <v/>
      </c>
      <c r="Z33" s="133">
        <f>Z26*XAUconfig!Z3</f>
        <v/>
      </c>
      <c r="AA33" s="133">
        <f>AA26*XAUconfig!AA3</f>
        <v/>
      </c>
      <c r="AB33" s="133">
        <f>AB26*XAUconfig!AB3</f>
        <v/>
      </c>
      <c r="AC33" s="133">
        <f>AC26*XAUconfig!AC3</f>
        <v/>
      </c>
      <c r="AD33" s="133">
        <f>AD26*XAUconfig!AD3</f>
        <v/>
      </c>
      <c r="AE33" s="133">
        <f>AE26*XAUconfig!AE3</f>
        <v/>
      </c>
      <c r="AF33" s="133">
        <f>AF26*XAUconfig!AF3</f>
        <v/>
      </c>
      <c r="AG33" s="133">
        <f>AG26*XAUconfig!AG3</f>
        <v/>
      </c>
      <c r="AH33" s="133">
        <f>AH26*XAUconfig!AH3</f>
        <v/>
      </c>
      <c r="AI33" s="133">
        <f>AI26*XAUconfig!AI3</f>
        <v/>
      </c>
      <c r="AJ33" s="133">
        <f>AJ26*XAUconfig!AJ3</f>
        <v/>
      </c>
      <c r="AK33" s="133">
        <f>AK26*XAUconfig!AK3</f>
        <v/>
      </c>
      <c r="AL33" s="133">
        <f>AL26*XAUconfig!AL3</f>
        <v/>
      </c>
      <c r="AM33" s="133">
        <f>AM26*XAUconfig!AM3</f>
        <v/>
      </c>
      <c r="AN33" s="133">
        <f>AN26*XAUconfig!AN3</f>
        <v/>
      </c>
      <c r="AO33" s="133">
        <f>AO26*XAUconfig!AO3</f>
        <v/>
      </c>
      <c r="AP33" s="133">
        <f>AP26*XAUconfig!AP3</f>
        <v/>
      </c>
      <c r="AQ33" s="133">
        <f>AQ26*XAUconfig!AQ3</f>
        <v/>
      </c>
      <c r="AR33" s="133">
        <f>AR26*XAUconfig!AR3</f>
        <v/>
      </c>
      <c r="AS33" s="133">
        <f>AS26*XAUconfig!AS3</f>
        <v/>
      </c>
      <c r="AT33" s="133">
        <f>AT26*XAUconfig!AT3</f>
        <v/>
      </c>
      <c r="AU33" s="133">
        <f>AU26*XAUconfig!AU3</f>
        <v/>
      </c>
      <c r="AV33" s="133">
        <f>AV26*XAUconfig!AV3</f>
        <v/>
      </c>
      <c r="AW33" s="133">
        <f>AW26*XAUconfig!AW3</f>
        <v/>
      </c>
      <c r="AX33" s="133">
        <f>AX26*XAUconfig!AX3</f>
        <v/>
      </c>
      <c r="AY33" s="133">
        <f>AY26*XAUconfig!AY3</f>
        <v/>
      </c>
      <c r="AZ33" s="133">
        <f>AZ26*XAUconfig!AZ3</f>
        <v/>
      </c>
      <c r="BA33" s="133">
        <f>BA26*XAUconfig!BA3</f>
        <v/>
      </c>
      <c r="BB33" s="133">
        <f>BB26*XAUconfig!BB3</f>
        <v/>
      </c>
      <c r="BC33" s="133">
        <f>BC26*XAUconfig!BC3</f>
        <v/>
      </c>
      <c r="BD33" s="133">
        <f>BD26*XAUconfig!BD3</f>
        <v/>
      </c>
      <c r="BE33" s="133">
        <f>BE26*XAUconfig!BE3</f>
        <v/>
      </c>
      <c r="BF33" s="133">
        <f>BF26*XAUconfig!BF3</f>
        <v/>
      </c>
      <c r="BG33" s="133">
        <f>BG26*XAUconfig!BG3</f>
        <v/>
      </c>
      <c r="BH33" s="133">
        <f>BH26*XAUconfig!BH3</f>
        <v/>
      </c>
      <c r="BI33" s="135">
        <f>BI26*XAUconfig!BI3</f>
        <v/>
      </c>
    </row>
    <row r="34">
      <c r="A34" s="45" t="inlineStr">
        <is>
          <t>Gross MRR from Token Taxes &amp; Swap Fees ($)</t>
        </is>
      </c>
      <c r="B34" s="189" t="n">
        <v>0</v>
      </c>
      <c r="C34" s="189" t="n">
        <v>0</v>
      </c>
      <c r="D34" s="189" t="n">
        <v>0</v>
      </c>
      <c r="E34" s="189" t="n">
        <v>0</v>
      </c>
      <c r="F34" s="189" t="n">
        <v>0</v>
      </c>
      <c r="G34" s="189" t="n">
        <v>0</v>
      </c>
      <c r="H34" s="189" t="n">
        <v>0</v>
      </c>
      <c r="I34" s="189" t="n">
        <v>0</v>
      </c>
      <c r="J34" s="189" t="n">
        <v>0</v>
      </c>
      <c r="K34" s="139">
        <f>K27*XAUconfig!K3</f>
        <v/>
      </c>
      <c r="L34" s="139">
        <f>L27*XAUconfig!L3</f>
        <v/>
      </c>
      <c r="M34" s="139">
        <f>M27*XAUconfig!M3</f>
        <v/>
      </c>
      <c r="N34" s="139">
        <f>N27*XAUconfig!N3</f>
        <v/>
      </c>
      <c r="O34" s="139">
        <f>O27*XAUconfig!O3</f>
        <v/>
      </c>
      <c r="P34" s="139">
        <f>P27*XAUconfig!P3</f>
        <v/>
      </c>
      <c r="Q34" s="139">
        <f>Q27*XAUconfig!Q3</f>
        <v/>
      </c>
      <c r="R34" s="139">
        <f>R27*XAUconfig!R3</f>
        <v/>
      </c>
      <c r="S34" s="139">
        <f>S27*XAUconfig!S3</f>
        <v/>
      </c>
      <c r="T34" s="139">
        <f>T27*XAUconfig!T3</f>
        <v/>
      </c>
      <c r="U34" s="139">
        <f>U27*XAUconfig!U3</f>
        <v/>
      </c>
      <c r="V34" s="139">
        <f>V27*XAUconfig!V3</f>
        <v/>
      </c>
      <c r="W34" s="139">
        <f>W27*XAUconfig!W3</f>
        <v/>
      </c>
      <c r="X34" s="139">
        <f>X27*XAUconfig!X3</f>
        <v/>
      </c>
      <c r="Y34" s="139">
        <f>Y27*XAUconfig!Y3</f>
        <v/>
      </c>
      <c r="Z34" s="139">
        <f>Z27*XAUconfig!Z3</f>
        <v/>
      </c>
      <c r="AA34" s="139">
        <f>AA27*XAUconfig!AA3</f>
        <v/>
      </c>
      <c r="AB34" s="139">
        <f>AB27*XAUconfig!AB3</f>
        <v/>
      </c>
      <c r="AC34" s="139">
        <f>AC27*XAUconfig!AC3</f>
        <v/>
      </c>
      <c r="AD34" s="139">
        <f>AD27*XAUconfig!AD3</f>
        <v/>
      </c>
      <c r="AE34" s="139">
        <f>AE27*XAUconfig!AE3</f>
        <v/>
      </c>
      <c r="AF34" s="139">
        <f>AF27*XAUconfig!AF3</f>
        <v/>
      </c>
      <c r="AG34" s="139">
        <f>AG27*XAUconfig!AG3</f>
        <v/>
      </c>
      <c r="AH34" s="139">
        <f>AH27*XAUconfig!AH3</f>
        <v/>
      </c>
      <c r="AI34" s="139">
        <f>AI27*XAUconfig!AI3</f>
        <v/>
      </c>
      <c r="AJ34" s="139">
        <f>AJ27*XAUconfig!AJ3</f>
        <v/>
      </c>
      <c r="AK34" s="139">
        <f>AK27*XAUconfig!AK3</f>
        <v/>
      </c>
      <c r="AL34" s="139">
        <f>AL27*XAUconfig!AL3</f>
        <v/>
      </c>
      <c r="AM34" s="139">
        <f>AM27*XAUconfig!AM3</f>
        <v/>
      </c>
      <c r="AN34" s="139">
        <f>AN27*XAUconfig!AN3</f>
        <v/>
      </c>
      <c r="AO34" s="139">
        <f>AO27*XAUconfig!AO3</f>
        <v/>
      </c>
      <c r="AP34" s="139">
        <f>AP27*XAUconfig!AP3</f>
        <v/>
      </c>
      <c r="AQ34" s="139">
        <f>AQ27*XAUconfig!AQ3</f>
        <v/>
      </c>
      <c r="AR34" s="139">
        <f>AR27*XAUconfig!AR3</f>
        <v/>
      </c>
      <c r="AS34" s="139">
        <f>AS27*XAUconfig!AS3</f>
        <v/>
      </c>
      <c r="AT34" s="139">
        <f>AT27*XAUconfig!AT3</f>
        <v/>
      </c>
      <c r="AU34" s="139">
        <f>AU27*XAUconfig!AU3</f>
        <v/>
      </c>
      <c r="AV34" s="139">
        <f>AV27*XAUconfig!AV3</f>
        <v/>
      </c>
      <c r="AW34" s="139">
        <f>AW27*XAUconfig!AW3</f>
        <v/>
      </c>
      <c r="AX34" s="139">
        <f>AX27*XAUconfig!AX3</f>
        <v/>
      </c>
      <c r="AY34" s="139">
        <f>AY27*XAUconfig!AY3</f>
        <v/>
      </c>
      <c r="AZ34" s="139">
        <f>AZ27*XAUconfig!AZ3</f>
        <v/>
      </c>
      <c r="BA34" s="139">
        <f>BA27*XAUconfig!BA3</f>
        <v/>
      </c>
      <c r="BB34" s="139">
        <f>BB27*XAUconfig!BB3</f>
        <v/>
      </c>
      <c r="BC34" s="139">
        <f>BC27*XAUconfig!BC3</f>
        <v/>
      </c>
      <c r="BD34" s="139">
        <f>BD27*XAUconfig!BD3</f>
        <v/>
      </c>
      <c r="BE34" s="139">
        <f>BE27*XAUconfig!BE3</f>
        <v/>
      </c>
      <c r="BF34" s="139">
        <f>BF27*XAUconfig!BF3</f>
        <v/>
      </c>
      <c r="BG34" s="139">
        <f>BG27*XAUconfig!BG3</f>
        <v/>
      </c>
      <c r="BH34" s="139">
        <f>BH27*XAUconfig!BH3</f>
        <v/>
      </c>
      <c r="BI34" s="177">
        <f>BI27*XAUconfig!BI3</f>
        <v/>
      </c>
    </row>
    <row r="35">
      <c r="A35" s="128" t="n"/>
      <c r="B35" s="128" t="n"/>
      <c r="C35" s="128" t="n"/>
      <c r="D35" s="128" t="n"/>
      <c r="E35" s="128" t="n"/>
      <c r="F35" s="128" t="n"/>
      <c r="G35" s="128" t="n"/>
      <c r="H35" s="220" t="n"/>
      <c r="I35" s="220" t="n"/>
      <c r="J35" s="220" t="n"/>
      <c r="K35" s="220" t="n"/>
      <c r="L35" s="220" t="n"/>
      <c r="M35" s="220" t="n"/>
      <c r="N35" s="220" t="n"/>
      <c r="O35" s="220" t="n"/>
      <c r="P35" s="220" t="n"/>
      <c r="Q35" s="220" t="n"/>
      <c r="R35" s="220" t="n"/>
      <c r="S35" s="220" t="n"/>
      <c r="T35" s="220" t="n"/>
      <c r="U35" s="220" t="n"/>
      <c r="V35" s="220" t="n"/>
      <c r="W35" s="289" t="n"/>
      <c r="X35" s="289" t="n"/>
      <c r="Y35" s="289" t="n"/>
      <c r="Z35" s="289" t="n"/>
      <c r="AA35" s="289" t="n"/>
      <c r="AB35" s="289" t="n"/>
      <c r="AC35" s="289" t="n"/>
      <c r="AD35" s="289" t="n"/>
      <c r="AE35" s="289" t="n"/>
      <c r="AF35" s="289" t="n"/>
      <c r="AG35" s="289" t="n"/>
      <c r="AH35" s="289" t="n"/>
      <c r="AI35" s="289" t="n"/>
      <c r="AJ35" s="289" t="n"/>
      <c r="AK35" s="289" t="n"/>
      <c r="AL35" s="289" t="n"/>
      <c r="AM35" s="289" t="n"/>
      <c r="AN35" s="289" t="n"/>
      <c r="AO35" s="289" t="n"/>
      <c r="AP35" s="289" t="n"/>
      <c r="AQ35" s="289" t="n"/>
      <c r="AR35" s="289" t="n"/>
      <c r="AS35" s="289" t="n"/>
      <c r="AT35" s="289" t="n"/>
      <c r="AU35" s="289" t="n"/>
      <c r="AV35" s="289" t="n"/>
      <c r="AW35" s="289" t="n"/>
      <c r="AX35" s="289" t="n"/>
      <c r="AY35" s="289" t="n"/>
      <c r="AZ35" s="289" t="n"/>
      <c r="BA35" s="289" t="n"/>
      <c r="BB35" s="289" t="n"/>
      <c r="BC35" s="289" t="n"/>
      <c r="BD35" s="289" t="n"/>
      <c r="BE35" s="289" t="n"/>
      <c r="BF35" s="289" t="n"/>
      <c r="BG35" s="289" t="n"/>
      <c r="BH35" s="289" t="n"/>
      <c r="BI35" s="289" t="n"/>
    </row>
    <row r="36">
      <c r="A36" s="36" t="inlineStr">
        <is>
          <t>CEX Markets</t>
        </is>
      </c>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c r="X36" s="94" t="n"/>
      <c r="Y36" s="94" t="n"/>
      <c r="Z36" s="94" t="n"/>
      <c r="AA36" s="94" t="n"/>
      <c r="AB36" s="94" t="n"/>
      <c r="AC36" s="94" t="n"/>
      <c r="AD36" s="94" t="n"/>
      <c r="AE36" s="94" t="n"/>
      <c r="AF36" s="94" t="n"/>
      <c r="AG36" s="94" t="n"/>
      <c r="AH36" s="94" t="n"/>
      <c r="AI36" s="94" t="n"/>
      <c r="AJ36" s="94" t="n"/>
      <c r="AK36" s="94" t="n"/>
      <c r="AL36" s="94" t="n"/>
      <c r="AM36" s="94" t="n"/>
      <c r="AN36" s="94" t="n"/>
      <c r="AO36" s="94" t="n"/>
      <c r="AP36" s="94" t="n"/>
      <c r="AQ36" s="94" t="n"/>
      <c r="AR36" s="94" t="n"/>
      <c r="AS36" s="94" t="n"/>
      <c r="AT36" s="94" t="n"/>
      <c r="AU36" s="94" t="n"/>
      <c r="AV36" s="94" t="n"/>
      <c r="AW36" s="94" t="n"/>
      <c r="AX36" s="94" t="n"/>
      <c r="AY36" s="94" t="n"/>
      <c r="AZ36" s="94" t="n"/>
      <c r="BA36" s="94" t="n"/>
      <c r="BB36" s="94" t="n"/>
      <c r="BC36" s="94" t="n"/>
      <c r="BD36" s="94" t="n"/>
      <c r="BE36" s="94" t="n"/>
      <c r="BF36" s="94" t="n"/>
      <c r="BG36" s="94" t="n"/>
      <c r="BH36" s="94" t="n"/>
      <c r="BI36" s="121" t="n"/>
    </row>
    <row r="37">
      <c r="A37" s="38" t="inlineStr">
        <is>
          <t>Circulating Marketcap to CEX Volume Ratio</t>
        </is>
      </c>
      <c r="B37" s="190" t="n"/>
      <c r="C37" s="190" t="n"/>
      <c r="D37" s="190" t="n"/>
      <c r="E37" s="190" t="n"/>
      <c r="F37" s="190" t="n"/>
      <c r="G37" s="190" t="n"/>
      <c r="H37" s="190" t="n"/>
      <c r="I37" s="190" t="n"/>
      <c r="J37" s="117" t="n"/>
      <c r="K37" s="117" t="n"/>
      <c r="L37" s="117" t="n"/>
      <c r="M37" s="117" t="n"/>
      <c r="N37" s="242" t="n"/>
      <c r="O37" s="242" t="n"/>
      <c r="P37" s="242" t="n"/>
      <c r="Q37" s="242" t="n"/>
      <c r="R37" s="242" t="n"/>
      <c r="S37" s="242" t="n"/>
      <c r="T37" s="242" t="n"/>
      <c r="U37" s="242" t="n"/>
      <c r="V37" s="242" t="n"/>
      <c r="W37" s="242" t="n"/>
      <c r="X37" s="242" t="n"/>
      <c r="Y37" s="242" t="n"/>
      <c r="Z37" s="242" t="n"/>
      <c r="AA37" s="242" t="n"/>
      <c r="AB37" s="242" t="n"/>
      <c r="AC37" s="242" t="n"/>
      <c r="AD37" s="242" t="n"/>
      <c r="AE37" s="242" t="n"/>
      <c r="AF37" s="124" t="n">
        <v>3</v>
      </c>
      <c r="AG37" s="124" t="n">
        <v>1</v>
      </c>
      <c r="AH37" s="124" t="n">
        <v>1</v>
      </c>
      <c r="AI37" s="124" t="n">
        <v>2</v>
      </c>
      <c r="AJ37" s="124" t="n">
        <v>2</v>
      </c>
      <c r="AK37" s="124" t="n">
        <v>2</v>
      </c>
      <c r="AL37" s="124" t="n">
        <v>3</v>
      </c>
      <c r="AM37" s="124" t="n">
        <v>3</v>
      </c>
      <c r="AN37" s="124" t="n">
        <v>3</v>
      </c>
      <c r="AO37" s="124" t="n">
        <v>4</v>
      </c>
      <c r="AP37" s="124" t="n">
        <v>4</v>
      </c>
      <c r="AQ37" s="124" t="n">
        <v>4</v>
      </c>
      <c r="AR37" s="124" t="n">
        <v>5</v>
      </c>
      <c r="AS37" s="124" t="n">
        <v>5</v>
      </c>
      <c r="AT37" s="124" t="n">
        <v>5</v>
      </c>
      <c r="AU37" s="124" t="n">
        <v>6</v>
      </c>
      <c r="AV37" s="124" t="n">
        <v>6</v>
      </c>
      <c r="AW37" s="124" t="n">
        <v>6</v>
      </c>
      <c r="AX37" s="124" t="n">
        <v>7</v>
      </c>
      <c r="AY37" s="124" t="n">
        <v>7</v>
      </c>
      <c r="AZ37" s="124" t="n">
        <v>7</v>
      </c>
      <c r="BA37" s="124" t="n">
        <v>8</v>
      </c>
      <c r="BB37" s="124" t="n">
        <v>8</v>
      </c>
      <c r="BC37" s="124" t="n">
        <v>8</v>
      </c>
      <c r="BD37" s="124" t="n">
        <v>9</v>
      </c>
      <c r="BE37" s="124" t="n">
        <v>9</v>
      </c>
      <c r="BF37" s="124" t="n">
        <v>9</v>
      </c>
      <c r="BG37" s="124" t="n">
        <v>10</v>
      </c>
      <c r="BH37" s="124" t="n">
        <v>10</v>
      </c>
      <c r="BI37" s="182" t="n">
        <v>10</v>
      </c>
    </row>
    <row r="38">
      <c r="A38" s="38" t="inlineStr">
        <is>
          <t>CEX Trading Volume ($)</t>
        </is>
      </c>
      <c r="B38" s="190" t="n">
        <v>0</v>
      </c>
      <c r="C38" s="190" t="n">
        <v>0</v>
      </c>
      <c r="D38" s="190" t="n">
        <v>0</v>
      </c>
      <c r="E38" s="190" t="n">
        <v>0</v>
      </c>
      <c r="F38" s="190" t="n">
        <v>0</v>
      </c>
      <c r="G38" s="190" t="n">
        <v>0</v>
      </c>
      <c r="H38" s="190" t="n">
        <v>0</v>
      </c>
      <c r="I38" s="190" t="n">
        <v>0</v>
      </c>
      <c r="J38" s="117" t="n">
        <v>0</v>
      </c>
      <c r="K38" s="117" t="n">
        <v>0</v>
      </c>
      <c r="L38" s="117" t="n">
        <v>0</v>
      </c>
      <c r="M38" s="117" t="n">
        <v>0</v>
      </c>
      <c r="N38" s="242" t="n">
        <v>0</v>
      </c>
      <c r="O38" s="242" t="n">
        <v>0</v>
      </c>
      <c r="P38" s="242" t="n">
        <v>0</v>
      </c>
      <c r="Q38" s="242" t="n">
        <v>0</v>
      </c>
      <c r="R38" s="242" t="n">
        <v>0</v>
      </c>
      <c r="S38" s="242" t="n">
        <v>0</v>
      </c>
      <c r="T38" s="242" t="n">
        <v>0</v>
      </c>
      <c r="U38" s="242" t="n">
        <v>0</v>
      </c>
      <c r="V38" s="242" t="n">
        <v>0</v>
      </c>
      <c r="W38" s="242" t="n">
        <v>0</v>
      </c>
      <c r="X38" s="242" t="n">
        <v>0</v>
      </c>
      <c r="Y38" s="242" t="n">
        <v>0</v>
      </c>
      <c r="Z38" s="242" t="n">
        <v>0</v>
      </c>
      <c r="AA38" s="242" t="n">
        <v>0</v>
      </c>
      <c r="AB38" s="242" t="n">
        <v>0</v>
      </c>
      <c r="AC38" s="242" t="n">
        <v>0</v>
      </c>
      <c r="AD38" s="242" t="n">
        <v>0</v>
      </c>
      <c r="AE38" s="242" t="n">
        <v>0</v>
      </c>
      <c r="AF38" s="124">
        <f>AF19*AF37</f>
        <v/>
      </c>
      <c r="AG38" s="124">
        <f>AG19*AG37</f>
        <v/>
      </c>
      <c r="AH38" s="124">
        <f>AH19*AH37</f>
        <v/>
      </c>
      <c r="AI38" s="124">
        <f>AI19*AI37</f>
        <v/>
      </c>
      <c r="AJ38" s="124">
        <f>AJ19*AJ37</f>
        <v/>
      </c>
      <c r="AK38" s="124">
        <f>AK19*AK37</f>
        <v/>
      </c>
      <c r="AL38" s="124">
        <f>AL19*AL37</f>
        <v/>
      </c>
      <c r="AM38" s="124">
        <f>AM19*AM37</f>
        <v/>
      </c>
      <c r="AN38" s="124">
        <f>AN19*AN37</f>
        <v/>
      </c>
      <c r="AO38" s="124">
        <f>AO19*AO37</f>
        <v/>
      </c>
      <c r="AP38" s="124">
        <f>AP19*AP37</f>
        <v/>
      </c>
      <c r="AQ38" s="124">
        <f>AQ19*AQ37</f>
        <v/>
      </c>
      <c r="AR38" s="124">
        <f>AR19*AR37</f>
        <v/>
      </c>
      <c r="AS38" s="124">
        <f>AS19*AS37</f>
        <v/>
      </c>
      <c r="AT38" s="124">
        <f>AT19*AT37</f>
        <v/>
      </c>
      <c r="AU38" s="124">
        <f>AU19*AU37</f>
        <v/>
      </c>
      <c r="AV38" s="124">
        <f>AV19*AV37</f>
        <v/>
      </c>
      <c r="AW38" s="124">
        <f>AW19*AW37</f>
        <v/>
      </c>
      <c r="AX38" s="124">
        <f>AX19*AX37</f>
        <v/>
      </c>
      <c r="AY38" s="124">
        <f>AY19*AY37</f>
        <v/>
      </c>
      <c r="AZ38" s="124">
        <f>AZ19*AZ37</f>
        <v/>
      </c>
      <c r="BA38" s="124">
        <f>BA19*BA37</f>
        <v/>
      </c>
      <c r="BB38" s="124">
        <f>BB19*BB37</f>
        <v/>
      </c>
      <c r="BC38" s="124">
        <f>BC19*BC37</f>
        <v/>
      </c>
      <c r="BD38" s="124">
        <f>BD19*BD37</f>
        <v/>
      </c>
      <c r="BE38" s="124">
        <f>BE19*BE37</f>
        <v/>
      </c>
      <c r="BF38" s="124">
        <f>BF19*BF37</f>
        <v/>
      </c>
      <c r="BG38" s="124">
        <f>BG19*BG37</f>
        <v/>
      </c>
      <c r="BH38" s="124">
        <f>BH19*BH37</f>
        <v/>
      </c>
      <c r="BI38" s="124">
        <f>BI19*BI37</f>
        <v/>
      </c>
    </row>
    <row r="39">
      <c r="A39" s="38" t="inlineStr">
        <is>
          <t>CEX Trading Volume (oz)</t>
        </is>
      </c>
      <c r="B39" s="117" t="n">
        <v>0</v>
      </c>
      <c r="C39" s="117" t="n">
        <v>0</v>
      </c>
      <c r="D39" s="117" t="n">
        <v>0</v>
      </c>
      <c r="E39" s="117" t="n">
        <v>0</v>
      </c>
      <c r="F39" s="117" t="n">
        <v>0</v>
      </c>
      <c r="G39" s="117" t="n">
        <v>0</v>
      </c>
      <c r="H39" s="117" t="n">
        <v>0</v>
      </c>
      <c r="I39" s="117" t="n">
        <v>0</v>
      </c>
      <c r="J39" s="117" t="n">
        <v>0</v>
      </c>
      <c r="K39" s="117" t="n">
        <v>0</v>
      </c>
      <c r="L39" s="117" t="n">
        <v>0</v>
      </c>
      <c r="M39" s="117" t="n">
        <v>0</v>
      </c>
      <c r="N39" s="117" t="n">
        <v>0</v>
      </c>
      <c r="O39" s="117" t="n">
        <v>0</v>
      </c>
      <c r="P39" s="117" t="n">
        <v>0</v>
      </c>
      <c r="Q39" s="117" t="n">
        <v>0</v>
      </c>
      <c r="R39" s="117" t="n">
        <v>0</v>
      </c>
      <c r="S39" s="117" t="n">
        <v>0</v>
      </c>
      <c r="T39" s="117" t="n">
        <v>0</v>
      </c>
      <c r="U39" s="117" t="n">
        <v>0</v>
      </c>
      <c r="V39" s="117" t="n">
        <v>0</v>
      </c>
      <c r="W39" s="117" t="n">
        <v>0</v>
      </c>
      <c r="X39" s="117" t="n">
        <v>0</v>
      </c>
      <c r="Y39" s="117" t="n">
        <v>0</v>
      </c>
      <c r="Z39" s="117" t="n">
        <v>0</v>
      </c>
      <c r="AA39" s="117" t="n">
        <v>0</v>
      </c>
      <c r="AB39" s="117" t="n">
        <v>0</v>
      </c>
      <c r="AC39" s="117" t="n">
        <v>0</v>
      </c>
      <c r="AD39" s="117" t="n">
        <v>0</v>
      </c>
      <c r="AE39" s="117" t="n">
        <v>0</v>
      </c>
      <c r="AF39" s="100">
        <f>AF38/XAUconfig!AF3</f>
        <v/>
      </c>
      <c r="AG39" s="100">
        <f>AG38/XAUconfig!AG3</f>
        <v/>
      </c>
      <c r="AH39" s="100">
        <f>AH38/XAUconfig!AH3</f>
        <v/>
      </c>
      <c r="AI39" s="100">
        <f>AI38/XAUconfig!AI3</f>
        <v/>
      </c>
      <c r="AJ39" s="100">
        <f>AJ38/XAUconfig!AJ3</f>
        <v/>
      </c>
      <c r="AK39" s="100">
        <f>AK38/XAUconfig!AK3</f>
        <v/>
      </c>
      <c r="AL39" s="100">
        <f>AL38/XAUconfig!AL3</f>
        <v/>
      </c>
      <c r="AM39" s="100">
        <f>AM38/XAUconfig!AM3</f>
        <v/>
      </c>
      <c r="AN39" s="100">
        <f>AN38/XAUconfig!AN3</f>
        <v/>
      </c>
      <c r="AO39" s="100">
        <f>AO38/XAUconfig!AO3</f>
        <v/>
      </c>
      <c r="AP39" s="100">
        <f>AP38/XAUconfig!AP3</f>
        <v/>
      </c>
      <c r="AQ39" s="100">
        <f>AQ38/XAUconfig!AQ3</f>
        <v/>
      </c>
      <c r="AR39" s="100">
        <f>AR38/XAUconfig!AR3</f>
        <v/>
      </c>
      <c r="AS39" s="100">
        <f>AS38/XAUconfig!AS3</f>
        <v/>
      </c>
      <c r="AT39" s="100">
        <f>AT38/XAUconfig!AT3</f>
        <v/>
      </c>
      <c r="AU39" s="100">
        <f>AU38/XAUconfig!AU3</f>
        <v/>
      </c>
      <c r="AV39" s="100">
        <f>AV38/XAUconfig!AV3</f>
        <v/>
      </c>
      <c r="AW39" s="100">
        <f>AW38/XAUconfig!AW3</f>
        <v/>
      </c>
      <c r="AX39" s="100">
        <f>AX38/XAUconfig!AX3</f>
        <v/>
      </c>
      <c r="AY39" s="100">
        <f>AY38/XAUconfig!AY3</f>
        <v/>
      </c>
      <c r="AZ39" s="100">
        <f>AZ38/XAUconfig!AZ3</f>
        <v/>
      </c>
      <c r="BA39" s="100">
        <f>BA38/XAUconfig!BA3</f>
        <v/>
      </c>
      <c r="BB39" s="100">
        <f>BB38/XAUconfig!BB3</f>
        <v/>
      </c>
      <c r="BC39" s="100">
        <f>BC38/XAUconfig!BC3</f>
        <v/>
      </c>
      <c r="BD39" s="100">
        <f>BD38/XAUconfig!BD3</f>
        <v/>
      </c>
      <c r="BE39" s="100">
        <f>BE38/XAUconfig!BE3</f>
        <v/>
      </c>
      <c r="BF39" s="100">
        <f>BF38/XAUconfig!BF3</f>
        <v/>
      </c>
      <c r="BG39" s="100">
        <f>BG38/XAUconfig!BG3</f>
        <v/>
      </c>
      <c r="BH39" s="100">
        <f>BH38/XAUconfig!BH3</f>
        <v/>
      </c>
      <c r="BI39" s="154">
        <f>BI38/XAUconfig!BI3</f>
        <v/>
      </c>
    </row>
    <row r="40">
      <c r="A40" s="38" t="inlineStr">
        <is>
          <t>Inventory Size</t>
        </is>
      </c>
      <c r="B40" s="117" t="n">
        <v>0</v>
      </c>
      <c r="C40" s="117" t="n">
        <v>0</v>
      </c>
      <c r="D40" s="117" t="n">
        <v>0</v>
      </c>
      <c r="E40" s="117" t="n">
        <v>0</v>
      </c>
      <c r="F40" s="117" t="n">
        <v>0</v>
      </c>
      <c r="G40" s="117" t="n">
        <v>0</v>
      </c>
      <c r="H40" s="117" t="n">
        <v>0</v>
      </c>
      <c r="I40" s="117" t="n">
        <v>0</v>
      </c>
      <c r="J40" s="117" t="n">
        <v>0</v>
      </c>
      <c r="K40" s="117" t="n">
        <v>0</v>
      </c>
      <c r="L40" s="117" t="n">
        <v>0</v>
      </c>
      <c r="M40" s="117" t="n">
        <v>0</v>
      </c>
      <c r="N40" s="117" t="n">
        <v>0</v>
      </c>
      <c r="O40" s="117" t="n">
        <v>0</v>
      </c>
      <c r="P40" s="117" t="n">
        <v>0</v>
      </c>
      <c r="Q40" s="117" t="n">
        <v>0</v>
      </c>
      <c r="R40" s="117" t="n">
        <v>0</v>
      </c>
      <c r="S40" s="117" t="n">
        <v>0</v>
      </c>
      <c r="T40" s="117" t="n">
        <v>0</v>
      </c>
      <c r="U40" s="117" t="n">
        <v>0</v>
      </c>
      <c r="V40" s="117" t="n">
        <v>0</v>
      </c>
      <c r="W40" s="117" t="n">
        <v>0</v>
      </c>
      <c r="X40" s="117" t="n">
        <v>0</v>
      </c>
      <c r="Y40" s="117" t="n">
        <v>0</v>
      </c>
      <c r="Z40" s="117" t="n">
        <v>0</v>
      </c>
      <c r="AA40" s="117" t="n">
        <v>0</v>
      </c>
      <c r="AB40" s="117" t="n">
        <v>0</v>
      </c>
      <c r="AC40" s="117" t="n">
        <v>0</v>
      </c>
      <c r="AD40" s="117" t="n">
        <v>0</v>
      </c>
      <c r="AE40" s="117" t="n">
        <v>0</v>
      </c>
      <c r="AF40" s="100" t="n"/>
      <c r="AG40" s="100" t="n"/>
      <c r="AH40" s="100" t="n"/>
      <c r="AI40" s="100" t="n"/>
      <c r="AJ40" s="100" t="n"/>
      <c r="AK40" s="100" t="n"/>
      <c r="AL40" s="100" t="n"/>
      <c r="AM40" s="100" t="n"/>
      <c r="AN40" s="100" t="n"/>
      <c r="AO40" s="100"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54" t="n"/>
    </row>
    <row r="41">
      <c r="A41" s="38" t="inlineStr">
        <is>
          <t>Holding Costs</t>
        </is>
      </c>
      <c r="B41" s="117" t="n">
        <v>0</v>
      </c>
      <c r="C41" s="117" t="n">
        <v>0</v>
      </c>
      <c r="D41" s="117" t="n">
        <v>0</v>
      </c>
      <c r="E41" s="117" t="n">
        <v>0</v>
      </c>
      <c r="F41" s="117" t="n">
        <v>0</v>
      </c>
      <c r="G41" s="117" t="n">
        <v>0</v>
      </c>
      <c r="H41" s="117" t="n">
        <v>0</v>
      </c>
      <c r="I41" s="117" t="n">
        <v>0</v>
      </c>
      <c r="J41" s="117" t="n">
        <v>0</v>
      </c>
      <c r="K41" s="117" t="n">
        <v>0</v>
      </c>
      <c r="L41" s="117" t="n">
        <v>0</v>
      </c>
      <c r="M41" s="117" t="n">
        <v>0</v>
      </c>
      <c r="N41" s="117" t="n">
        <v>0</v>
      </c>
      <c r="O41" s="117" t="n">
        <v>0</v>
      </c>
      <c r="P41" s="117" t="n">
        <v>0</v>
      </c>
      <c r="Q41" s="117" t="n">
        <v>0</v>
      </c>
      <c r="R41" s="117" t="n">
        <v>0</v>
      </c>
      <c r="S41" s="117" t="n">
        <v>0</v>
      </c>
      <c r="T41" s="117" t="n">
        <v>0</v>
      </c>
      <c r="U41" s="117" t="n">
        <v>0</v>
      </c>
      <c r="V41" s="117" t="n">
        <v>0</v>
      </c>
      <c r="W41" s="117" t="n">
        <v>0</v>
      </c>
      <c r="X41" s="117" t="n">
        <v>0</v>
      </c>
      <c r="Y41" s="117" t="n">
        <v>0</v>
      </c>
      <c r="Z41" s="117" t="n">
        <v>0</v>
      </c>
      <c r="AA41" s="117" t="n">
        <v>0</v>
      </c>
      <c r="AB41" s="117" t="n">
        <v>0</v>
      </c>
      <c r="AC41" s="117" t="n">
        <v>0</v>
      </c>
      <c r="AD41" s="117" t="n">
        <v>0</v>
      </c>
      <c r="AE41" s="117" t="n">
        <v>0</v>
      </c>
      <c r="AF41" s="100" t="n"/>
      <c r="AG41" s="100" t="n"/>
      <c r="AH41" s="100" t="n"/>
      <c r="AI41" s="100" t="n"/>
      <c r="AJ41" s="100" t="n"/>
      <c r="AK41" s="100" t="n"/>
      <c r="AL41" s="100" t="n"/>
      <c r="AM41" s="100" t="n"/>
      <c r="AN41" s="100" t="n"/>
      <c r="AO41" s="100"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54" t="n"/>
    </row>
    <row r="42">
      <c r="A42" s="38" t="inlineStr">
        <is>
          <t>Volatility</t>
        </is>
      </c>
      <c r="B42" s="117" t="n">
        <v>0</v>
      </c>
      <c r="C42" s="117" t="n">
        <v>0</v>
      </c>
      <c r="D42" s="117" t="n">
        <v>0</v>
      </c>
      <c r="E42" s="117" t="n">
        <v>0</v>
      </c>
      <c r="F42" s="117" t="n">
        <v>0</v>
      </c>
      <c r="G42" s="117" t="n">
        <v>0</v>
      </c>
      <c r="H42" s="117" t="n">
        <v>0</v>
      </c>
      <c r="I42" s="117" t="n">
        <v>0</v>
      </c>
      <c r="J42" s="117" t="n">
        <v>0</v>
      </c>
      <c r="K42" s="117" t="n">
        <v>0</v>
      </c>
      <c r="L42" s="117" t="n">
        <v>0</v>
      </c>
      <c r="M42" s="117" t="n">
        <v>0</v>
      </c>
      <c r="N42" s="117" t="n">
        <v>0</v>
      </c>
      <c r="O42" s="117" t="n">
        <v>0</v>
      </c>
      <c r="P42" s="117" t="n">
        <v>0</v>
      </c>
      <c r="Q42" s="117" t="n">
        <v>0</v>
      </c>
      <c r="R42" s="117" t="n">
        <v>0</v>
      </c>
      <c r="S42" s="117" t="n">
        <v>0</v>
      </c>
      <c r="T42" s="117" t="n">
        <v>0</v>
      </c>
      <c r="U42" s="117" t="n">
        <v>0</v>
      </c>
      <c r="V42" s="117" t="n">
        <v>0</v>
      </c>
      <c r="W42" s="117" t="n">
        <v>0</v>
      </c>
      <c r="X42" s="117" t="n">
        <v>0</v>
      </c>
      <c r="Y42" s="117" t="n">
        <v>0</v>
      </c>
      <c r="Z42" s="117" t="n">
        <v>0</v>
      </c>
      <c r="AA42" s="117" t="n">
        <v>0</v>
      </c>
      <c r="AB42" s="117" t="n">
        <v>0</v>
      </c>
      <c r="AC42" s="117" t="n">
        <v>0</v>
      </c>
      <c r="AD42" s="117" t="n">
        <v>0</v>
      </c>
      <c r="AE42" s="117" t="n">
        <v>0</v>
      </c>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2" t="n"/>
    </row>
    <row r="43">
      <c r="A43" s="38" t="inlineStr">
        <is>
          <t>Rebates</t>
        </is>
      </c>
      <c r="B43" s="117" t="n">
        <v>0</v>
      </c>
      <c r="C43" s="117" t="n">
        <v>0</v>
      </c>
      <c r="D43" s="117" t="n">
        <v>0</v>
      </c>
      <c r="E43" s="117" t="n">
        <v>0</v>
      </c>
      <c r="F43" s="117" t="n">
        <v>0</v>
      </c>
      <c r="G43" s="117" t="n">
        <v>0</v>
      </c>
      <c r="H43" s="117" t="n">
        <v>0</v>
      </c>
      <c r="I43" s="117" t="n">
        <v>0</v>
      </c>
      <c r="J43" s="117" t="n">
        <v>0</v>
      </c>
      <c r="K43" s="117" t="n">
        <v>0</v>
      </c>
      <c r="L43" s="117" t="n">
        <v>0</v>
      </c>
      <c r="M43" s="117" t="n">
        <v>0</v>
      </c>
      <c r="N43" s="117" t="n">
        <v>0</v>
      </c>
      <c r="O43" s="117" t="n">
        <v>0</v>
      </c>
      <c r="P43" s="117" t="n">
        <v>0</v>
      </c>
      <c r="Q43" s="117" t="n">
        <v>0</v>
      </c>
      <c r="R43" s="117" t="n">
        <v>0</v>
      </c>
      <c r="S43" s="117" t="n">
        <v>0</v>
      </c>
      <c r="T43" s="117" t="n">
        <v>0</v>
      </c>
      <c r="U43" s="117" t="n">
        <v>0</v>
      </c>
      <c r="V43" s="117" t="n">
        <v>0</v>
      </c>
      <c r="W43" s="117" t="n">
        <v>0</v>
      </c>
      <c r="X43" s="117" t="n">
        <v>0</v>
      </c>
      <c r="Y43" s="117" t="n">
        <v>0</v>
      </c>
      <c r="Z43" s="117" t="n">
        <v>0</v>
      </c>
      <c r="AA43" s="117" t="n">
        <v>0</v>
      </c>
      <c r="AB43" s="117" t="n">
        <v>0</v>
      </c>
      <c r="AC43" s="117" t="n">
        <v>0</v>
      </c>
      <c r="AD43" s="117" t="n">
        <v>0</v>
      </c>
      <c r="AE43" s="117" t="n">
        <v>0</v>
      </c>
      <c r="AH43" s="137" t="n"/>
      <c r="AI43" s="137" t="n"/>
      <c r="AJ43" s="137" t="n"/>
      <c r="AK43" s="137" t="n"/>
      <c r="AL43" s="137" t="n"/>
      <c r="AM43" s="137" t="n"/>
      <c r="AN43" s="137" t="n"/>
      <c r="AO43" s="137" t="n"/>
      <c r="AP43" s="137" t="n"/>
      <c r="AQ43" s="137" t="n"/>
      <c r="AR43" s="137" t="n"/>
      <c r="AS43" s="137" t="n"/>
      <c r="AT43" s="137" t="n"/>
      <c r="AU43" s="137" t="n"/>
      <c r="AV43" s="137" t="n"/>
      <c r="AW43" s="137" t="n"/>
      <c r="AX43" s="137" t="n"/>
      <c r="AY43" s="137" t="n"/>
      <c r="AZ43" s="137" t="n"/>
      <c r="BA43" s="137" t="n"/>
      <c r="BB43" s="137" t="n"/>
      <c r="BC43" s="137" t="n"/>
      <c r="BD43" s="137" t="n"/>
      <c r="BE43" s="137" t="n"/>
      <c r="BF43" s="137" t="n"/>
      <c r="BG43" s="137" t="n"/>
      <c r="BH43" s="137" t="n"/>
      <c r="BI43" s="72" t="n"/>
    </row>
    <row r="44">
      <c r="A44" s="194" t="n"/>
      <c r="B44" s="194" t="n"/>
      <c r="C44" s="194" t="n"/>
      <c r="D44" s="194" t="n"/>
      <c r="E44" s="194" t="n"/>
      <c r="F44" s="194" t="n"/>
      <c r="G44" s="194" t="n"/>
      <c r="H44" s="195" t="n"/>
      <c r="I44" s="195" t="n"/>
      <c r="J44" s="195" t="n"/>
      <c r="K44" s="195" t="n"/>
      <c r="L44" s="195" t="n"/>
      <c r="M44" s="195" t="n"/>
      <c r="N44" s="195" t="n"/>
      <c r="O44" s="195" t="n"/>
      <c r="P44" s="195" t="n"/>
      <c r="Q44" s="195" t="n"/>
      <c r="R44" s="195" t="n"/>
      <c r="S44" s="195" t="n"/>
      <c r="T44" s="195" t="n"/>
      <c r="U44" s="195" t="n"/>
      <c r="V44" s="195" t="n"/>
      <c r="W44" s="196" t="n"/>
      <c r="X44" s="196" t="n"/>
      <c r="Y44" s="196" t="n"/>
      <c r="Z44" s="196" t="n"/>
      <c r="AA44" s="196" t="n"/>
      <c r="AB44" s="196" t="n"/>
      <c r="AC44" s="196" t="n"/>
      <c r="AD44" s="196" t="n"/>
      <c r="AE44" s="196" t="n"/>
      <c r="AF44" s="196" t="n"/>
      <c r="AG44" s="196" t="n"/>
      <c r="AH44" s="289" t="n"/>
      <c r="AI44" s="289" t="n"/>
      <c r="AJ44" s="289" t="n"/>
      <c r="AK44" s="289" t="n"/>
      <c r="AL44" s="289" t="n"/>
      <c r="AM44" s="289" t="n"/>
      <c r="AN44" s="289" t="n"/>
      <c r="AO44" s="289" t="n"/>
      <c r="AP44" s="289" t="n"/>
      <c r="AQ44" s="289" t="n"/>
      <c r="AR44" s="289" t="n"/>
      <c r="AS44" s="289" t="n"/>
      <c r="AT44" s="289" t="n"/>
      <c r="AU44" s="289" t="n"/>
      <c r="AV44" s="289" t="n"/>
      <c r="AW44" s="289" t="n"/>
      <c r="AX44" s="289" t="n"/>
      <c r="AY44" s="289" t="n"/>
      <c r="AZ44" s="289" t="n"/>
      <c r="BA44" s="289" t="n"/>
      <c r="BB44" s="289" t="n"/>
      <c r="BC44" s="289" t="n"/>
      <c r="BD44" s="289" t="n"/>
      <c r="BE44" s="289" t="n"/>
      <c r="BF44" s="289" t="n"/>
      <c r="BG44" s="289" t="n"/>
      <c r="BH44" s="289" t="n"/>
      <c r="BI44" s="289" t="n"/>
    </row>
    <row r="45">
      <c r="A45" s="197" t="inlineStr">
        <is>
          <t>Market Making</t>
        </is>
      </c>
      <c r="B45" s="117" t="n"/>
      <c r="C45" s="117" t="n"/>
      <c r="D45" s="117" t="n"/>
      <c r="E45" s="117" t="n"/>
      <c r="F45" s="117" t="n"/>
      <c r="AH45" s="94" t="n"/>
      <c r="AI45" s="94" t="n"/>
      <c r="AJ45" s="94" t="n"/>
      <c r="AK45" s="94" t="n"/>
      <c r="AL45" s="94" t="n"/>
      <c r="AM45" s="94" t="n"/>
      <c r="AN45" s="94" t="n"/>
      <c r="AO45" s="94" t="n"/>
      <c r="AP45" s="94" t="n"/>
      <c r="AQ45" s="94" t="n"/>
      <c r="AR45" s="94" t="n"/>
      <c r="AS45" s="94" t="n"/>
      <c r="AT45" s="94" t="n"/>
      <c r="AU45" s="94" t="n"/>
      <c r="AV45" s="94" t="n"/>
      <c r="AW45" s="94" t="n"/>
      <c r="AX45" s="94" t="n"/>
      <c r="AY45" s="94" t="n"/>
      <c r="AZ45" s="94" t="n"/>
      <c r="BA45" s="94" t="n"/>
      <c r="BB45" s="94" t="n"/>
      <c r="BC45" s="94" t="n"/>
      <c r="BD45" s="94" t="n"/>
      <c r="BE45" s="94" t="n"/>
      <c r="BF45" s="94" t="n"/>
      <c r="BG45" s="94" t="n"/>
      <c r="BH45" s="94" t="n"/>
      <c r="BI45" s="121" t="n"/>
    </row>
    <row r="46">
      <c r="A46" s="38" t="inlineStr">
        <is>
          <t>% of DEX Volume Captured</t>
        </is>
      </c>
      <c r="B46" s="117" t="n">
        <v>0</v>
      </c>
      <c r="C46" s="117" t="n">
        <v>0</v>
      </c>
      <c r="D46" s="117" t="n">
        <v>0</v>
      </c>
      <c r="E46" s="117" t="n">
        <v>0</v>
      </c>
      <c r="F46" s="117" t="n">
        <v>0</v>
      </c>
      <c r="G46" s="117" t="n">
        <v>0</v>
      </c>
      <c r="H46" s="117" t="n">
        <v>0</v>
      </c>
      <c r="I46" s="117" t="n">
        <v>0</v>
      </c>
      <c r="J46" s="117" t="n">
        <v>0</v>
      </c>
      <c r="K46" s="198" t="n">
        <v>0.1</v>
      </c>
      <c r="L46" s="198" t="n">
        <v>0.1</v>
      </c>
      <c r="M46" s="198" t="n">
        <v>0.1</v>
      </c>
      <c r="N46" s="103" t="n">
        <v>0.1</v>
      </c>
      <c r="O46" s="103" t="n">
        <v>0.1</v>
      </c>
      <c r="P46" s="103" t="n">
        <v>0.1</v>
      </c>
      <c r="Q46" s="103" t="n">
        <v>0.1</v>
      </c>
      <c r="R46" s="103" t="n">
        <v>0.1</v>
      </c>
      <c r="S46" s="103" t="n">
        <v>0.1</v>
      </c>
      <c r="T46" s="103" t="n">
        <v>0.1</v>
      </c>
      <c r="U46" s="103" t="n">
        <v>0.1</v>
      </c>
      <c r="V46" s="103" t="n">
        <v>0.1</v>
      </c>
      <c r="W46" s="103" t="n">
        <v>0.1</v>
      </c>
      <c r="X46" s="103" t="n">
        <v>0.1</v>
      </c>
      <c r="Y46" s="103" t="n">
        <v>0.1</v>
      </c>
      <c r="Z46" s="103" t="n">
        <v>0.1</v>
      </c>
      <c r="AA46" s="103" t="n">
        <v>0.1</v>
      </c>
      <c r="AB46" s="103" t="n">
        <v>0.1</v>
      </c>
      <c r="AC46" s="103" t="n">
        <v>0.1</v>
      </c>
      <c r="AD46" s="103" t="n">
        <v>0.1</v>
      </c>
      <c r="AE46" s="103" t="n">
        <v>0.1</v>
      </c>
      <c r="AF46" s="103" t="n">
        <v>0.1</v>
      </c>
      <c r="AG46" s="103" t="n">
        <v>0.1</v>
      </c>
      <c r="AH46" s="103" t="n">
        <v>0.1</v>
      </c>
      <c r="AI46" s="103" t="n">
        <v>0.1</v>
      </c>
      <c r="AJ46" s="103" t="n">
        <v>0.1</v>
      </c>
      <c r="AK46" s="103" t="n">
        <v>0.1</v>
      </c>
      <c r="AL46" s="103" t="n">
        <v>0.1</v>
      </c>
      <c r="AM46" s="103" t="n">
        <v>0.1</v>
      </c>
      <c r="AN46" s="103" t="n">
        <v>0.1</v>
      </c>
      <c r="AO46" s="103" t="n">
        <v>0.1</v>
      </c>
      <c r="AP46" s="103" t="n">
        <v>0.1</v>
      </c>
      <c r="AQ46" s="103" t="n">
        <v>0.1</v>
      </c>
      <c r="AR46" s="103" t="n">
        <v>0.1</v>
      </c>
      <c r="AS46" s="103" t="n">
        <v>0.1</v>
      </c>
      <c r="AT46" s="103" t="n">
        <v>0.1</v>
      </c>
      <c r="AU46" s="103" t="n">
        <v>0.1</v>
      </c>
      <c r="AV46" s="103" t="n">
        <v>0.1</v>
      </c>
      <c r="AW46" s="103" t="n">
        <v>0.1</v>
      </c>
      <c r="AX46" s="103" t="n">
        <v>0.1</v>
      </c>
      <c r="AY46" s="103" t="n">
        <v>0.1</v>
      </c>
      <c r="AZ46" s="103" t="n">
        <v>0.1</v>
      </c>
      <c r="BA46" s="103" t="n">
        <v>0.1</v>
      </c>
      <c r="BB46" s="103" t="n">
        <v>0.1</v>
      </c>
      <c r="BC46" s="103" t="n">
        <v>0.1</v>
      </c>
      <c r="BD46" s="103" t="n">
        <v>0.1</v>
      </c>
      <c r="BE46" s="103" t="n">
        <v>0.1</v>
      </c>
      <c r="BF46" s="103" t="n">
        <v>0.1</v>
      </c>
      <c r="BG46" s="103" t="n">
        <v>0.1</v>
      </c>
      <c r="BH46" s="103" t="n">
        <v>0.1</v>
      </c>
      <c r="BI46" s="47" t="n">
        <v>0.1</v>
      </c>
    </row>
    <row r="47">
      <c r="A47" s="38" t="inlineStr">
        <is>
          <t>DEX MM Bot Trading Volume (oz)</t>
        </is>
      </c>
      <c r="B47" s="117" t="n">
        <v>0</v>
      </c>
      <c r="C47" s="117" t="n">
        <v>0</v>
      </c>
      <c r="D47" s="117" t="n">
        <v>0</v>
      </c>
      <c r="E47" s="117" t="n">
        <v>0</v>
      </c>
      <c r="F47" s="117" t="n">
        <v>0</v>
      </c>
      <c r="G47" s="117" t="n">
        <v>0</v>
      </c>
      <c r="H47" s="117" t="n">
        <v>0</v>
      </c>
      <c r="I47" s="117" t="n">
        <v>0</v>
      </c>
      <c r="J47" s="117" t="n">
        <v>0</v>
      </c>
      <c r="K47" s="87">
        <f>K18*K46</f>
        <v/>
      </c>
      <c r="L47" s="87">
        <f>L18*L46</f>
        <v/>
      </c>
      <c r="M47" s="87">
        <f>M18*M46</f>
        <v/>
      </c>
      <c r="N47" s="87">
        <f>N18*N46</f>
        <v/>
      </c>
      <c r="O47" s="87">
        <f>O18*O46</f>
        <v/>
      </c>
      <c r="P47" s="87">
        <f>P18*P46</f>
        <v/>
      </c>
      <c r="Q47" s="87">
        <f>Q18*Q46</f>
        <v/>
      </c>
      <c r="R47" s="87">
        <f>R18*R46</f>
        <v/>
      </c>
      <c r="S47" s="87">
        <f>S18*S46</f>
        <v/>
      </c>
      <c r="T47" s="87">
        <f>T18*T46</f>
        <v/>
      </c>
      <c r="U47" s="87">
        <f>U18*U46</f>
        <v/>
      </c>
      <c r="V47" s="87">
        <f>V18*V46</f>
        <v/>
      </c>
      <c r="W47" s="87">
        <f>W18*W46</f>
        <v/>
      </c>
      <c r="X47" s="87">
        <f>X18*X46</f>
        <v/>
      </c>
      <c r="Y47" s="87">
        <f>Y18*Y46</f>
        <v/>
      </c>
      <c r="Z47" s="87">
        <f>Z18*Z46</f>
        <v/>
      </c>
      <c r="AA47" s="87">
        <f>AA18*AA46</f>
        <v/>
      </c>
      <c r="AB47" s="87">
        <f>AB18*AB46</f>
        <v/>
      </c>
      <c r="AC47" s="87">
        <f>AC18*AC46</f>
        <v/>
      </c>
      <c r="AD47" s="87">
        <f>AD18*AD46</f>
        <v/>
      </c>
      <c r="AE47" s="87">
        <f>AE18*AE46</f>
        <v/>
      </c>
      <c r="AF47" s="87">
        <f>AF18*AF46</f>
        <v/>
      </c>
      <c r="AG47" s="87">
        <f>AG18*AG46</f>
        <v/>
      </c>
      <c r="AH47" s="87">
        <f>AH18*AH46</f>
        <v/>
      </c>
      <c r="AI47" s="87">
        <f>AI18*AI46</f>
        <v/>
      </c>
      <c r="AJ47" s="87">
        <f>AJ18*AJ46</f>
        <v/>
      </c>
      <c r="AK47" s="87">
        <f>AK18*AK46</f>
        <v/>
      </c>
      <c r="AL47" s="87">
        <f>AL18*AL46</f>
        <v/>
      </c>
      <c r="AM47" s="87">
        <f>AM18*AM46</f>
        <v/>
      </c>
      <c r="AN47" s="87">
        <f>AN18*AN46</f>
        <v/>
      </c>
      <c r="AO47" s="87">
        <f>AO18*AO46</f>
        <v/>
      </c>
      <c r="AP47" s="87">
        <f>AP18*AP46</f>
        <v/>
      </c>
      <c r="AQ47" s="87">
        <f>AQ18*AQ46</f>
        <v/>
      </c>
      <c r="AR47" s="87">
        <f>AR18*AR46</f>
        <v/>
      </c>
      <c r="AS47" s="87">
        <f>AS18*AS46</f>
        <v/>
      </c>
      <c r="AT47" s="87">
        <f>AT18*AT46</f>
        <v/>
      </c>
      <c r="AU47" s="87">
        <f>AU18*AU46</f>
        <v/>
      </c>
      <c r="AV47" s="87">
        <f>AV18*AV46</f>
        <v/>
      </c>
      <c r="AW47" s="87">
        <f>AW18*AW46</f>
        <v/>
      </c>
      <c r="AX47" s="87">
        <f>AX18*AX46</f>
        <v/>
      </c>
      <c r="AY47" s="87">
        <f>AY18*AY46</f>
        <v/>
      </c>
      <c r="AZ47" s="87">
        <f>AZ18*AZ46</f>
        <v/>
      </c>
      <c r="BA47" s="87">
        <f>BA18*BA46</f>
        <v/>
      </c>
      <c r="BB47" s="87">
        <f>BB18*BB46</f>
        <v/>
      </c>
      <c r="BC47" s="87">
        <f>BC18*BC46</f>
        <v/>
      </c>
      <c r="BD47" s="87">
        <f>BD18*BD46</f>
        <v/>
      </c>
      <c r="BE47" s="87">
        <f>BE18*BE46</f>
        <v/>
      </c>
      <c r="BF47" s="87">
        <f>BF18*BF46</f>
        <v/>
      </c>
      <c r="BG47" s="87">
        <f>BG18*BG46</f>
        <v/>
      </c>
      <c r="BH47" s="87">
        <f>BH18*BH46</f>
        <v/>
      </c>
      <c r="BI47" s="87">
        <f>BI18*BI46</f>
        <v/>
      </c>
    </row>
    <row r="48">
      <c r="A48" s="38" t="inlineStr">
        <is>
          <t>% of CEX Volume Captured</t>
        </is>
      </c>
      <c r="B48" s="117" t="n">
        <v>0</v>
      </c>
      <c r="C48" s="117" t="n">
        <v>0</v>
      </c>
      <c r="D48" s="117" t="n">
        <v>0</v>
      </c>
      <c r="E48" s="117" t="n">
        <v>0</v>
      </c>
      <c r="F48" s="117" t="n">
        <v>0</v>
      </c>
      <c r="G48" s="117" t="n">
        <v>0</v>
      </c>
      <c r="H48" s="117" t="n">
        <v>0</v>
      </c>
      <c r="I48" s="117" t="n">
        <v>0</v>
      </c>
      <c r="J48" s="117" t="n">
        <v>0</v>
      </c>
      <c r="K48" s="117" t="n">
        <v>0</v>
      </c>
      <c r="L48" s="117" t="n">
        <v>0</v>
      </c>
      <c r="M48" s="117" t="n">
        <v>0</v>
      </c>
      <c r="N48" s="242" t="n">
        <v>0</v>
      </c>
      <c r="O48" s="242" t="n">
        <v>0</v>
      </c>
      <c r="P48" s="242" t="n">
        <v>0</v>
      </c>
      <c r="Q48" s="242" t="n">
        <v>0</v>
      </c>
      <c r="R48" s="242" t="n">
        <v>0</v>
      </c>
      <c r="S48" s="242" t="n">
        <v>0</v>
      </c>
      <c r="T48" s="242" t="n">
        <v>0</v>
      </c>
      <c r="U48" s="242" t="n">
        <v>0</v>
      </c>
      <c r="V48" s="242" t="n">
        <v>0</v>
      </c>
      <c r="W48" s="242" t="n">
        <v>0</v>
      </c>
      <c r="X48" s="242" t="n">
        <v>0</v>
      </c>
      <c r="Y48" s="242" t="n">
        <v>0</v>
      </c>
      <c r="Z48" s="242" t="n">
        <v>0</v>
      </c>
      <c r="AA48" s="242" t="n">
        <v>0</v>
      </c>
      <c r="AB48" s="242" t="n">
        <v>0</v>
      </c>
      <c r="AC48" s="242" t="n">
        <v>0</v>
      </c>
      <c r="AD48" s="242" t="n">
        <v>0</v>
      </c>
      <c r="AE48" s="242" t="n">
        <v>0</v>
      </c>
      <c r="AF48" s="103" t="n">
        <v>0.05</v>
      </c>
      <c r="AG48" s="103" t="n">
        <v>0.05</v>
      </c>
      <c r="AH48" s="103" t="n">
        <v>0.05</v>
      </c>
      <c r="AI48" s="103" t="n">
        <v>0.05</v>
      </c>
      <c r="AJ48" s="103" t="n">
        <v>0.05</v>
      </c>
      <c r="AK48" s="103" t="n">
        <v>0.05</v>
      </c>
      <c r="AL48" s="103" t="n">
        <v>0.05</v>
      </c>
      <c r="AM48" s="103" t="n">
        <v>0.05</v>
      </c>
      <c r="AN48" s="103" t="n">
        <v>0.05</v>
      </c>
      <c r="AO48" s="103" t="n">
        <v>0.05</v>
      </c>
      <c r="AP48" s="103" t="n">
        <v>0.05</v>
      </c>
      <c r="AQ48" s="241" t="n">
        <v>0.025</v>
      </c>
      <c r="AR48" s="241" t="n">
        <v>0.025</v>
      </c>
      <c r="AS48" s="241" t="n">
        <v>0.025</v>
      </c>
      <c r="AT48" s="241" t="n">
        <v>0.025</v>
      </c>
      <c r="AU48" s="241" t="n">
        <v>0.025</v>
      </c>
      <c r="AV48" s="241" t="n">
        <v>0.025</v>
      </c>
      <c r="AW48" s="241" t="n">
        <v>0.025</v>
      </c>
      <c r="AX48" s="241" t="n">
        <v>0.025</v>
      </c>
      <c r="AY48" s="241" t="n">
        <v>0.025</v>
      </c>
      <c r="AZ48" s="241" t="n">
        <v>0.025</v>
      </c>
      <c r="BA48" s="241" t="n">
        <v>0.025</v>
      </c>
      <c r="BB48" s="241" t="n">
        <v>0.025</v>
      </c>
      <c r="BC48" s="241" t="n">
        <v>0.025</v>
      </c>
      <c r="BD48" s="241" t="n">
        <v>0.025</v>
      </c>
      <c r="BE48" s="241" t="n">
        <v>0.025</v>
      </c>
      <c r="BF48" s="241" t="n">
        <v>0.025</v>
      </c>
      <c r="BG48" s="241" t="n">
        <v>0.025</v>
      </c>
      <c r="BH48" s="241" t="n">
        <v>0.025</v>
      </c>
      <c r="BI48" s="241" t="n">
        <v>0.025</v>
      </c>
    </row>
    <row r="49">
      <c r="A49" s="38" t="inlineStr">
        <is>
          <t>CEX MM Bot Trading Volume (oz)</t>
        </is>
      </c>
      <c r="B49" s="87" t="n">
        <v>0</v>
      </c>
      <c r="C49" s="87" t="n">
        <v>0</v>
      </c>
      <c r="D49" s="87" t="n">
        <v>0</v>
      </c>
      <c r="E49" s="87" t="n">
        <v>0</v>
      </c>
      <c r="F49" s="87" t="n">
        <v>0</v>
      </c>
      <c r="G49" s="87" t="n">
        <v>0</v>
      </c>
      <c r="H49" s="87" t="n">
        <v>0</v>
      </c>
      <c r="I49" s="87" t="n">
        <v>0</v>
      </c>
      <c r="J49" s="87" t="n">
        <v>0</v>
      </c>
      <c r="K49" s="87" t="n">
        <v>0</v>
      </c>
      <c r="L49" s="87" t="n">
        <v>0</v>
      </c>
      <c r="M49" s="87" t="n">
        <v>0</v>
      </c>
      <c r="N49" s="87" t="n">
        <v>0</v>
      </c>
      <c r="O49" s="87" t="n">
        <v>0</v>
      </c>
      <c r="P49" s="87" t="n">
        <v>0</v>
      </c>
      <c r="Q49" s="87" t="n">
        <v>0</v>
      </c>
      <c r="R49" s="87" t="n">
        <v>0</v>
      </c>
      <c r="S49" s="87" t="n">
        <v>0</v>
      </c>
      <c r="T49" s="87" t="n">
        <v>0</v>
      </c>
      <c r="U49" s="87" t="n">
        <v>0</v>
      </c>
      <c r="V49" s="87" t="n">
        <v>0</v>
      </c>
      <c r="W49" s="87" t="n">
        <v>0</v>
      </c>
      <c r="X49" s="87" t="n">
        <v>0</v>
      </c>
      <c r="Y49" s="87" t="n">
        <v>0</v>
      </c>
      <c r="Z49" s="87" t="n">
        <v>0</v>
      </c>
      <c r="AA49" s="87" t="n">
        <v>0</v>
      </c>
      <c r="AB49" s="87" t="n">
        <v>0</v>
      </c>
      <c r="AC49" s="87" t="n">
        <v>0</v>
      </c>
      <c r="AD49" s="87" t="n">
        <v>0</v>
      </c>
      <c r="AE49" s="87" t="n">
        <v>0</v>
      </c>
      <c r="AF49" s="87">
        <f>AF39*AF48</f>
        <v/>
      </c>
      <c r="AG49" s="87">
        <f>AG39*AG48</f>
        <v/>
      </c>
      <c r="AH49" s="87">
        <f>AH39*AH48</f>
        <v/>
      </c>
      <c r="AI49" s="87">
        <f>AI39*AI48</f>
        <v/>
      </c>
      <c r="AJ49" s="87">
        <f>AJ39*AJ48</f>
        <v/>
      </c>
      <c r="AK49" s="87">
        <f>AK39*AK48</f>
        <v/>
      </c>
      <c r="AL49" s="87">
        <f>AL39*AL48</f>
        <v/>
      </c>
      <c r="AM49" s="87">
        <f>AM39*AM48</f>
        <v/>
      </c>
      <c r="AN49" s="87">
        <f>AN39*AN48</f>
        <v/>
      </c>
      <c r="AO49" s="87">
        <f>AO39*AO48</f>
        <v/>
      </c>
      <c r="AP49" s="87">
        <f>AP39*AP48</f>
        <v/>
      </c>
      <c r="AQ49" s="87">
        <f>AQ39*AQ48</f>
        <v/>
      </c>
      <c r="AR49" s="87">
        <f>AR39*AR48</f>
        <v/>
      </c>
      <c r="AS49" s="87">
        <f>AS39*AS48</f>
        <v/>
      </c>
      <c r="AT49" s="87">
        <f>AT39*AT48</f>
        <v/>
      </c>
      <c r="AU49" s="87">
        <f>AU39*AU48</f>
        <v/>
      </c>
      <c r="AV49" s="87">
        <f>AV39*AV48</f>
        <v/>
      </c>
      <c r="AW49" s="87">
        <f>AW39*AW48</f>
        <v/>
      </c>
      <c r="AX49" s="87">
        <f>AX39*AX48</f>
        <v/>
      </c>
      <c r="AY49" s="87">
        <f>AY39*AY48</f>
        <v/>
      </c>
      <c r="AZ49" s="87">
        <f>AZ39*AZ48</f>
        <v/>
      </c>
      <c r="BA49" s="87">
        <f>BA39*BA48</f>
        <v/>
      </c>
      <c r="BB49" s="87">
        <f>BB39*BB48</f>
        <v/>
      </c>
      <c r="BC49" s="87">
        <f>BC39*BC48</f>
        <v/>
      </c>
      <c r="BD49" s="87">
        <f>BD39*BD48</f>
        <v/>
      </c>
      <c r="BE49" s="87">
        <f>BE39*BE48</f>
        <v/>
      </c>
      <c r="BF49" s="87">
        <f>BF39*BF48</f>
        <v/>
      </c>
      <c r="BG49" s="87">
        <f>BG39*BG48</f>
        <v/>
      </c>
      <c r="BH49" s="87">
        <f>BH39*BH48</f>
        <v/>
      </c>
      <c r="BI49" s="161">
        <f>BI39*BI48</f>
        <v/>
      </c>
    </row>
    <row r="50">
      <c r="A50" s="38" t="inlineStr">
        <is>
          <t>Total MM Bot Trading Volume (oz)</t>
        </is>
      </c>
      <c r="B50" s="87">
        <f>B47+B49</f>
        <v/>
      </c>
      <c r="C50" s="87">
        <f>C47+C49</f>
        <v/>
      </c>
      <c r="D50" s="87">
        <f>D47+D49</f>
        <v/>
      </c>
      <c r="E50" s="87">
        <f>E47+E49</f>
        <v/>
      </c>
      <c r="F50" s="87">
        <f>F47+F49</f>
        <v/>
      </c>
      <c r="G50" s="87">
        <f>G47+G49</f>
        <v/>
      </c>
      <c r="H50" s="87">
        <f>H47+H49</f>
        <v/>
      </c>
      <c r="I50" s="87">
        <f>I47+I49</f>
        <v/>
      </c>
      <c r="J50" s="87">
        <f>J47+J49</f>
        <v/>
      </c>
      <c r="K50" s="87">
        <f>K47+K49</f>
        <v/>
      </c>
      <c r="L50" s="87">
        <f>L47+L49</f>
        <v/>
      </c>
      <c r="M50" s="87">
        <f>M47+M49</f>
        <v/>
      </c>
      <c r="N50" s="87">
        <f>N47+N49</f>
        <v/>
      </c>
      <c r="O50" s="87">
        <f>O47+O49</f>
        <v/>
      </c>
      <c r="P50" s="87">
        <f>P47+P49</f>
        <v/>
      </c>
      <c r="Q50" s="87">
        <f>Q47+Q49</f>
        <v/>
      </c>
      <c r="R50" s="87">
        <f>R47+R49</f>
        <v/>
      </c>
      <c r="S50" s="87">
        <f>S47+S49</f>
        <v/>
      </c>
      <c r="T50" s="87">
        <f>T47+T49</f>
        <v/>
      </c>
      <c r="U50" s="87">
        <f>U47+U49</f>
        <v/>
      </c>
      <c r="V50" s="87">
        <f>V47+V49</f>
        <v/>
      </c>
      <c r="W50" s="87">
        <f>W47+W49</f>
        <v/>
      </c>
      <c r="X50" s="87">
        <f>X47+X49</f>
        <v/>
      </c>
      <c r="Y50" s="87">
        <f>Y47+Y49</f>
        <v/>
      </c>
      <c r="Z50" s="87">
        <f>Z47+Z49</f>
        <v/>
      </c>
      <c r="AA50" s="87">
        <f>AA47+AA49</f>
        <v/>
      </c>
      <c r="AB50" s="87">
        <f>AB47+AB49</f>
        <v/>
      </c>
      <c r="AC50" s="87">
        <f>AC47+AC49</f>
        <v/>
      </c>
      <c r="AD50" s="87">
        <f>AD47+AD49</f>
        <v/>
      </c>
      <c r="AE50" s="87">
        <f>AE47+AE49</f>
        <v/>
      </c>
      <c r="AF50" s="87">
        <f>AF47+AF49</f>
        <v/>
      </c>
      <c r="AG50" s="87">
        <f>AG47+AG49</f>
        <v/>
      </c>
      <c r="AH50" s="87">
        <f>AH47+AH49</f>
        <v/>
      </c>
      <c r="AI50" s="87">
        <f>AI47+AI49</f>
        <v/>
      </c>
      <c r="AJ50" s="87">
        <f>AJ47+AJ49</f>
        <v/>
      </c>
      <c r="AK50" s="87">
        <f>AK47+AK49</f>
        <v/>
      </c>
      <c r="AL50" s="87">
        <f>AL47+AL49</f>
        <v/>
      </c>
      <c r="AM50" s="87">
        <f>AM47+AM49</f>
        <v/>
      </c>
      <c r="AN50" s="87">
        <f>AN47+AN49</f>
        <v/>
      </c>
      <c r="AO50" s="87">
        <f>AO47+AO49</f>
        <v/>
      </c>
      <c r="AP50" s="87">
        <f>AP47+AP49</f>
        <v/>
      </c>
      <c r="AQ50" s="87">
        <f>AQ47+AQ49</f>
        <v/>
      </c>
      <c r="AR50" s="87">
        <f>AR47+AR49</f>
        <v/>
      </c>
      <c r="AS50" s="87">
        <f>AS47+AS49</f>
        <v/>
      </c>
      <c r="AT50" s="87">
        <f>AT47+AT49</f>
        <v/>
      </c>
      <c r="AU50" s="87">
        <f>AU47+AU49</f>
        <v/>
      </c>
      <c r="AV50" s="87">
        <f>AV47+AV49</f>
        <v/>
      </c>
      <c r="AW50" s="87">
        <f>AW47+AW49</f>
        <v/>
      </c>
      <c r="AX50" s="87">
        <f>AX47+AX49</f>
        <v/>
      </c>
      <c r="AY50" s="87">
        <f>AY47+AY49</f>
        <v/>
      </c>
      <c r="AZ50" s="87">
        <f>AZ47+AZ49</f>
        <v/>
      </c>
      <c r="BA50" s="87">
        <f>BA47+BA49</f>
        <v/>
      </c>
      <c r="BB50" s="87">
        <f>BB47+BB49</f>
        <v/>
      </c>
      <c r="BC50" s="87">
        <f>BC47+BC49</f>
        <v/>
      </c>
      <c r="BD50" s="87">
        <f>BD47+BD49</f>
        <v/>
      </c>
      <c r="BE50" s="87">
        <f>BE47+BE49</f>
        <v/>
      </c>
      <c r="BF50" s="87">
        <f>BF47+BF49</f>
        <v/>
      </c>
      <c r="BG50" s="87">
        <f>BG47+BG49</f>
        <v/>
      </c>
      <c r="BH50" s="87">
        <f>BH47+BH49</f>
        <v/>
      </c>
      <c r="BI50" s="161">
        <f>BI47+BI49</f>
        <v/>
      </c>
    </row>
    <row r="51">
      <c r="A51" s="38" t="inlineStr">
        <is>
          <t>Spread per Ounce</t>
        </is>
      </c>
      <c r="B51" s="87">
        <f>B48+B50</f>
        <v/>
      </c>
      <c r="C51" s="87">
        <f>C48+C50</f>
        <v/>
      </c>
      <c r="D51" s="87">
        <f>D48+D50</f>
        <v/>
      </c>
      <c r="E51" s="87">
        <f>E48+E50</f>
        <v/>
      </c>
      <c r="F51" s="87">
        <f>F48+F50</f>
        <v/>
      </c>
      <c r="G51" s="87">
        <f>G48+G50</f>
        <v/>
      </c>
      <c r="H51" s="87">
        <f>H48+H50</f>
        <v/>
      </c>
      <c r="I51" s="87">
        <f>I48+I50</f>
        <v/>
      </c>
      <c r="J51" s="87">
        <f>J48+J50</f>
        <v/>
      </c>
      <c r="K51" s="117">
        <f>1+(1*Inputs!B42)-(1*Inputs!B41)-(1*Inputs!B29)-(1*Inputs!B38)</f>
        <v/>
      </c>
      <c r="L51" s="117">
        <f>1+(1*Inputs!B42)-(1*Inputs!B41)-(1*Inputs!B29)-(1*Inputs!B38)</f>
        <v/>
      </c>
      <c r="M51" s="117">
        <f>1+(1*Inputs!B42)-(1*Inputs!B41)-(1*Inputs!B29)-(1*Inputs!B38)</f>
        <v/>
      </c>
      <c r="N51" s="117">
        <f>1+(1*Inputs!B42)-(1*Inputs!B41)-(1*Inputs!B29)-(1*Inputs!B38)</f>
        <v/>
      </c>
      <c r="O51" s="117">
        <f>1+(1*Inputs!B42)-(1*Inputs!B41)-(1*Inputs!B29)-(1*Inputs!B38)</f>
        <v/>
      </c>
      <c r="P51" s="117">
        <f>1+(1*Inputs!B42)-(1*Inputs!B41)-(1*Inputs!B29)-(1*Inputs!B38)</f>
        <v/>
      </c>
      <c r="Q51" s="117">
        <f>1+(1*Inputs!B42)-(1*Inputs!B41)-(1*Inputs!B29)-(1*Inputs!B38)</f>
        <v/>
      </c>
      <c r="R51" s="117">
        <f>1+(1*Inputs!B42)-(1*Inputs!B41)-(1*Inputs!B29)-(1*Inputs!B38)</f>
        <v/>
      </c>
      <c r="S51" s="117">
        <f>1+(1*Inputs!B42)-(1*Inputs!B41)-(1*Inputs!B29)-(1*Inputs!B38)</f>
        <v/>
      </c>
      <c r="T51" s="117">
        <f>1+(1*Inputs!B42)-(1*Inputs!B41)-(1*Inputs!B29)-(1*Inputs!B38)</f>
        <v/>
      </c>
      <c r="U51" s="117">
        <f>1+(1*Inputs!B42)-(1*Inputs!B41)-(1*Inputs!B29)-(1*Inputs!B38)</f>
        <v/>
      </c>
      <c r="V51" s="117">
        <f>1+(1*Inputs!B42)-(1*Inputs!B41)-(1*Inputs!B29)-(1*Inputs!B38)</f>
        <v/>
      </c>
      <c r="W51" s="117">
        <f>Inputs!B43</f>
        <v/>
      </c>
      <c r="X51" s="117">
        <f>Inputs!B43</f>
        <v/>
      </c>
      <c r="Y51" s="117">
        <f>Inputs!B43</f>
        <v/>
      </c>
      <c r="Z51" s="117">
        <f>Inputs!B43</f>
        <v/>
      </c>
      <c r="AA51" s="117">
        <f>Inputs!B43</f>
        <v/>
      </c>
      <c r="AB51" s="117">
        <f>Inputs!B43</f>
        <v/>
      </c>
      <c r="AC51" s="117">
        <f>Inputs!B43</f>
        <v/>
      </c>
      <c r="AD51" s="117">
        <f>Inputs!B43</f>
        <v/>
      </c>
      <c r="AE51" s="117">
        <f>Inputs!B43</f>
        <v/>
      </c>
      <c r="AF51" s="117">
        <f>Inputs!B43</f>
        <v/>
      </c>
      <c r="AG51" s="117">
        <f>Inputs!B43</f>
        <v/>
      </c>
      <c r="AH51" s="117">
        <f>Inputs!B43</f>
        <v/>
      </c>
      <c r="AI51" s="117">
        <f>Inputs!B43</f>
        <v/>
      </c>
      <c r="AJ51" s="117">
        <f>Inputs!B43</f>
        <v/>
      </c>
      <c r="AK51" s="117">
        <f>Inputs!B43</f>
        <v/>
      </c>
      <c r="AL51" s="117">
        <f>Inputs!B43</f>
        <v/>
      </c>
      <c r="AM51" s="117">
        <f>Inputs!B43</f>
        <v/>
      </c>
      <c r="AN51" s="117">
        <f>Inputs!B43</f>
        <v/>
      </c>
      <c r="AO51" s="117">
        <f>Inputs!B43</f>
        <v/>
      </c>
      <c r="AP51" s="117">
        <f>Inputs!B43</f>
        <v/>
      </c>
      <c r="AQ51" s="117">
        <f>Inputs!B43</f>
        <v/>
      </c>
      <c r="AR51" s="117">
        <f>Inputs!B43</f>
        <v/>
      </c>
      <c r="AS51" s="117">
        <f>Inputs!B43</f>
        <v/>
      </c>
      <c r="AT51" s="117">
        <f>Inputs!B43</f>
        <v/>
      </c>
      <c r="AU51" s="117">
        <f>Inputs!B43</f>
        <v/>
      </c>
      <c r="AV51" s="117">
        <f>Inputs!B43</f>
        <v/>
      </c>
      <c r="AW51" s="117">
        <f>Inputs!B43</f>
        <v/>
      </c>
      <c r="AX51" s="117">
        <f>Inputs!B43</f>
        <v/>
      </c>
      <c r="AY51" s="117">
        <f>Inputs!B43</f>
        <v/>
      </c>
      <c r="AZ51" s="117">
        <f>Inputs!B43</f>
        <v/>
      </c>
      <c r="BA51" s="117">
        <f>Inputs!B43</f>
        <v/>
      </c>
      <c r="BB51" s="117">
        <f>Inputs!B43</f>
        <v/>
      </c>
      <c r="BC51" s="117">
        <f>Inputs!B43</f>
        <v/>
      </c>
      <c r="BD51" s="117">
        <f>Inputs!B43</f>
        <v/>
      </c>
      <c r="BE51" s="117">
        <f>Inputs!B43</f>
        <v/>
      </c>
      <c r="BF51" s="117">
        <f>Inputs!B43</f>
        <v/>
      </c>
      <c r="BG51" s="117">
        <f>Inputs!B43</f>
        <v/>
      </c>
      <c r="BH51" s="117">
        <f>Inputs!B43</f>
        <v/>
      </c>
      <c r="BI51" s="106">
        <f>Inputs!B43</f>
        <v/>
      </c>
    </row>
    <row r="52">
      <c r="A52" s="38" t="inlineStr">
        <is>
          <t>Gross Market Making Profit (oz)</t>
        </is>
      </c>
      <c r="B52" s="87">
        <f>B49+B51</f>
        <v/>
      </c>
      <c r="C52" s="87">
        <f>C49+C51</f>
        <v/>
      </c>
      <c r="D52" s="87">
        <f>D49+D51</f>
        <v/>
      </c>
      <c r="E52" s="87">
        <f>E49+E51</f>
        <v/>
      </c>
      <c r="F52" s="87">
        <f>F49+F51</f>
        <v/>
      </c>
      <c r="G52" s="87">
        <f>G49+G51</f>
        <v/>
      </c>
      <c r="H52" s="87">
        <f>H49+H51</f>
        <v/>
      </c>
      <c r="I52" s="87">
        <f>I49+I51</f>
        <v/>
      </c>
      <c r="J52" s="87">
        <f>J49+J51</f>
        <v/>
      </c>
      <c r="K52" s="159">
        <f>(K50*K51)-K50</f>
        <v/>
      </c>
      <c r="L52" s="159">
        <f>(L50*L51)-L50</f>
        <v/>
      </c>
      <c r="M52" s="159">
        <f>(M50*M51)-M50</f>
        <v/>
      </c>
      <c r="N52" s="159">
        <f>(N50*N51)-N50</f>
        <v/>
      </c>
      <c r="O52" s="159">
        <f>(O50*O51)-O50</f>
        <v/>
      </c>
      <c r="P52" s="159">
        <f>(P50*P51)-P50</f>
        <v/>
      </c>
      <c r="Q52" s="159">
        <f>(Q50*Q51)-Q50</f>
        <v/>
      </c>
      <c r="R52" s="159">
        <f>(R50*R51)-R50</f>
        <v/>
      </c>
      <c r="S52" s="159">
        <f>(S50*S51)-S50</f>
        <v/>
      </c>
      <c r="T52" s="159">
        <f>(T50*T51)-T50</f>
        <v/>
      </c>
      <c r="U52" s="159">
        <f>(U50*U51)-U50</f>
        <v/>
      </c>
      <c r="V52" s="159">
        <f>(V50*V51)-V50</f>
        <v/>
      </c>
      <c r="W52" s="159">
        <f>(W50*W51)-W50</f>
        <v/>
      </c>
      <c r="X52" s="159">
        <f>(X50*X51)-X50</f>
        <v/>
      </c>
      <c r="Y52" s="159">
        <f>(Y50*Y51)-Y50</f>
        <v/>
      </c>
      <c r="Z52" s="159">
        <f>(Z50*Z51)-Z50</f>
        <v/>
      </c>
      <c r="AA52" s="159">
        <f>(AA50*AA51)-AA50</f>
        <v/>
      </c>
      <c r="AB52" s="159">
        <f>(AB50*AB51)-AB50</f>
        <v/>
      </c>
      <c r="AC52" s="159">
        <f>(AC50*AC51)-AC50</f>
        <v/>
      </c>
      <c r="AD52" s="159">
        <f>(AD50*AD51)-AD50</f>
        <v/>
      </c>
      <c r="AE52" s="159">
        <f>(AE50*AE51)-AE50</f>
        <v/>
      </c>
      <c r="AF52" s="159">
        <f>(AF50*AF51)-AF50</f>
        <v/>
      </c>
      <c r="AG52" s="159">
        <f>(AG50*AG51)-AG50</f>
        <v/>
      </c>
      <c r="AH52" s="159">
        <f>(AH50*AH51)-AH50</f>
        <v/>
      </c>
      <c r="AI52" s="159">
        <f>(AI50*AI51)-AI50</f>
        <v/>
      </c>
      <c r="AJ52" s="159">
        <f>(AJ50*AJ51)-AJ50</f>
        <v/>
      </c>
      <c r="AK52" s="159">
        <f>(AK50*AK51)-AK50</f>
        <v/>
      </c>
      <c r="AL52" s="159">
        <f>(AL50*AL51)-AL50</f>
        <v/>
      </c>
      <c r="AM52" s="159">
        <f>(AM50*AM51)-AM50</f>
        <v/>
      </c>
      <c r="AN52" s="159">
        <f>(AN50*AN51)-AN50</f>
        <v/>
      </c>
      <c r="AO52" s="159">
        <f>(AO50*AO51)-AO50</f>
        <v/>
      </c>
      <c r="AP52" s="159">
        <f>(AP50*AP51)-AP50</f>
        <v/>
      </c>
      <c r="AQ52" s="159">
        <f>(AQ50*AQ51)-AQ50</f>
        <v/>
      </c>
      <c r="AR52" s="159">
        <f>(AR50*AR51)-AR50</f>
        <v/>
      </c>
      <c r="AS52" s="159">
        <f>(AS50*AS51)-AS50</f>
        <v/>
      </c>
      <c r="AT52" s="159">
        <f>(AT50*AT51)-AT50</f>
        <v/>
      </c>
      <c r="AU52" s="159">
        <f>(AU50*AU51)-AU50</f>
        <v/>
      </c>
      <c r="AV52" s="159">
        <f>(AV50*AV51)-AV50</f>
        <v/>
      </c>
      <c r="AW52" s="159">
        <f>(AW50*AW51)-AW50</f>
        <v/>
      </c>
      <c r="AX52" s="159">
        <f>(AX50*AX51)-AX50</f>
        <v/>
      </c>
      <c r="AY52" s="159">
        <f>(AY50*AY51)-AY50</f>
        <v/>
      </c>
      <c r="AZ52" s="159">
        <f>(AZ50*AZ51)-AZ50</f>
        <v/>
      </c>
      <c r="BA52" s="159">
        <f>(BA50*BA51)-BA50</f>
        <v/>
      </c>
      <c r="BB52" s="159">
        <f>(BB50*BB51)-BB50</f>
        <v/>
      </c>
      <c r="BC52" s="159">
        <f>(BC50*BC51)-BC50</f>
        <v/>
      </c>
      <c r="BD52" s="159">
        <f>(BD50*BD51)-BD50</f>
        <v/>
      </c>
      <c r="BE52" s="159">
        <f>(BE50*BE51)-BE50</f>
        <v/>
      </c>
      <c r="BF52" s="159">
        <f>(BF50*BF51)-BF50</f>
        <v/>
      </c>
      <c r="BG52" s="159">
        <f>(BG50*BG51)-BG50</f>
        <v/>
      </c>
      <c r="BH52" s="159">
        <f>(BH50*BH51)-BH50</f>
        <v/>
      </c>
      <c r="BI52" s="176">
        <f>(BI50*BI51)-BI50</f>
        <v/>
      </c>
    </row>
    <row r="53">
      <c r="A53" s="108" t="inlineStr">
        <is>
          <t>Gross Market Making Profit ($)</t>
        </is>
      </c>
      <c r="B53" s="199">
        <f>B50+B52</f>
        <v/>
      </c>
      <c r="C53" s="199">
        <f>C50+C52</f>
        <v/>
      </c>
      <c r="D53" s="199">
        <f>D50+D52</f>
        <v/>
      </c>
      <c r="E53" s="199">
        <f>E50+E52</f>
        <v/>
      </c>
      <c r="F53" s="199">
        <f>F50+F52</f>
        <v/>
      </c>
      <c r="G53" s="199">
        <f>G50+G52</f>
        <v/>
      </c>
      <c r="H53" s="199">
        <f>H50+H52</f>
        <v/>
      </c>
      <c r="I53" s="199">
        <f>I50+I52</f>
        <v/>
      </c>
      <c r="J53" s="199">
        <f>J50+J52</f>
        <v/>
      </c>
      <c r="K53" s="261">
        <f>K52*XAUconfig!K3</f>
        <v/>
      </c>
      <c r="L53" s="261">
        <f>L52*XAUconfig!L3</f>
        <v/>
      </c>
      <c r="M53" s="261">
        <f>M52*XAUconfig!M3</f>
        <v/>
      </c>
      <c r="N53" s="261">
        <f>N52*XAUconfig!N3</f>
        <v/>
      </c>
      <c r="O53" s="261">
        <f>O52*XAUconfig!O3</f>
        <v/>
      </c>
      <c r="P53" s="261">
        <f>P52*XAUconfig!P3</f>
        <v/>
      </c>
      <c r="Q53" s="261">
        <f>Q52*XAUconfig!Q3</f>
        <v/>
      </c>
      <c r="R53" s="261">
        <f>R52*XAUconfig!R3</f>
        <v/>
      </c>
      <c r="S53" s="261">
        <f>S52*XAUconfig!S3</f>
        <v/>
      </c>
      <c r="T53" s="261">
        <f>T52*XAUconfig!T3</f>
        <v/>
      </c>
      <c r="U53" s="261">
        <f>U52*XAUconfig!U3</f>
        <v/>
      </c>
      <c r="V53" s="261">
        <f>V52*XAUconfig!V3</f>
        <v/>
      </c>
      <c r="W53" s="261">
        <f>W52*XAUconfig!W3</f>
        <v/>
      </c>
      <c r="X53" s="261">
        <f>X52*XAUconfig!X3</f>
        <v/>
      </c>
      <c r="Y53" s="261">
        <f>Y52*XAUconfig!Y3</f>
        <v/>
      </c>
      <c r="Z53" s="261">
        <f>Z52*XAUconfig!Z3</f>
        <v/>
      </c>
      <c r="AA53" s="261">
        <f>AA52*XAUconfig!AA3</f>
        <v/>
      </c>
      <c r="AB53" s="261">
        <f>AB52*XAUconfig!AB3</f>
        <v/>
      </c>
      <c r="AC53" s="261">
        <f>AC52*XAUconfig!AC3</f>
        <v/>
      </c>
      <c r="AD53" s="261">
        <f>AD52*XAUconfig!AD3</f>
        <v/>
      </c>
      <c r="AE53" s="261">
        <f>AE52*XAUconfig!AE3</f>
        <v/>
      </c>
      <c r="AF53" s="261">
        <f>AF52*XAUconfig!AF3</f>
        <v/>
      </c>
      <c r="AG53" s="261">
        <f>AG52*XAUconfig!AG3</f>
        <v/>
      </c>
      <c r="AH53" s="261">
        <f>AH52*XAUconfig!AH3</f>
        <v/>
      </c>
      <c r="AI53" s="261">
        <f>AI52*XAUconfig!AI3</f>
        <v/>
      </c>
      <c r="AJ53" s="261">
        <f>AJ52*XAUconfig!AJ3</f>
        <v/>
      </c>
      <c r="AK53" s="261">
        <f>AK52*XAUconfig!AK3</f>
        <v/>
      </c>
      <c r="AL53" s="261">
        <f>AL52*XAUconfig!AL3</f>
        <v/>
      </c>
      <c r="AM53" s="261">
        <f>AM52*XAUconfig!AM3</f>
        <v/>
      </c>
      <c r="AN53" s="261">
        <f>AN52*XAUconfig!AN3</f>
        <v/>
      </c>
      <c r="AO53" s="261">
        <f>AO52*XAUconfig!AO3</f>
        <v/>
      </c>
      <c r="AP53" s="261">
        <f>AP52*XAUconfig!AP3</f>
        <v/>
      </c>
      <c r="AQ53" s="261">
        <f>AQ52*XAUconfig!AQ3</f>
        <v/>
      </c>
      <c r="AR53" s="261">
        <f>AR52*XAUconfig!AR3</f>
        <v/>
      </c>
      <c r="AS53" s="261">
        <f>AS52*XAUconfig!AS3</f>
        <v/>
      </c>
      <c r="AT53" s="261">
        <f>AT52*XAUconfig!AT3</f>
        <v/>
      </c>
      <c r="AU53" s="261">
        <f>AU52*XAUconfig!AU3</f>
        <v/>
      </c>
      <c r="AV53" s="261">
        <f>AV52*XAUconfig!AV3</f>
        <v/>
      </c>
      <c r="AW53" s="261">
        <f>AW52*XAUconfig!AW3</f>
        <v/>
      </c>
      <c r="AX53" s="261">
        <f>AX52*XAUconfig!AX3</f>
        <v/>
      </c>
      <c r="AY53" s="261">
        <f>AY52*XAUconfig!AY3</f>
        <v/>
      </c>
      <c r="AZ53" s="261">
        <f>AZ52*XAUconfig!AZ3</f>
        <v/>
      </c>
      <c r="BA53" s="261">
        <f>BA52*XAUconfig!BA3</f>
        <v/>
      </c>
      <c r="BB53" s="261">
        <f>BB52*XAUconfig!BB3</f>
        <v/>
      </c>
      <c r="BC53" s="261">
        <f>BC52*XAUconfig!BC3</f>
        <v/>
      </c>
      <c r="BD53" s="261">
        <f>BD52*XAUconfig!BD3</f>
        <v/>
      </c>
      <c r="BE53" s="261">
        <f>BE52*XAUconfig!BE3</f>
        <v/>
      </c>
      <c r="BF53" s="261">
        <f>BF52*XAUconfig!BF3</f>
        <v/>
      </c>
      <c r="BG53" s="261">
        <f>BG52*XAUconfig!BG3</f>
        <v/>
      </c>
      <c r="BH53" s="261">
        <f>BH52*XAUconfig!BH3</f>
        <v/>
      </c>
      <c r="BI53" s="200">
        <f>BI52*XAUconfig!BI3</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128" t="n"/>
      <c r="AA54" s="128" t="n"/>
      <c r="AB54" s="128" t="n"/>
      <c r="AC54" s="128" t="n"/>
      <c r="AD54" s="128" t="n"/>
      <c r="AE54" s="128" t="n"/>
      <c r="AF54" s="128" t="n"/>
      <c r="AG54" s="128" t="n"/>
      <c r="AH54" s="128" t="n"/>
      <c r="AI54" s="128" t="n"/>
      <c r="AJ54" s="128" t="n"/>
      <c r="AK54" s="128" t="n"/>
      <c r="AL54" s="128" t="n"/>
      <c r="AM54" s="128" t="n"/>
      <c r="AN54" s="128" t="n"/>
      <c r="AO54" s="128" t="n"/>
      <c r="AP54" s="128" t="n"/>
      <c r="AQ54" s="128" t="n"/>
      <c r="AR54" s="128" t="n"/>
      <c r="AS54" s="128" t="n"/>
      <c r="AT54" s="128" t="n"/>
      <c r="AU54" s="128" t="n"/>
      <c r="AV54" s="128" t="n"/>
      <c r="AW54" s="128" t="n"/>
      <c r="AX54" s="128" t="n"/>
      <c r="AY54" s="128" t="n"/>
      <c r="AZ54" s="128" t="n"/>
      <c r="BA54" s="128" t="n"/>
      <c r="BB54" s="128" t="n"/>
      <c r="BC54" s="128" t="n"/>
      <c r="BD54" s="128" t="n"/>
      <c r="BE54" s="128" t="n"/>
      <c r="BF54" s="128" t="n"/>
      <c r="BG54" s="128" t="n"/>
      <c r="BH54" s="128" t="n"/>
      <c r="BI54" s="128" t="n"/>
    </row>
    <row r="89">
      <c r="A89" s="117" t="inlineStr">
        <is>
          <t>New Wallets Added</t>
        </is>
      </c>
      <c r="B89" s="117" t="n">
        <v>0</v>
      </c>
      <c r="C89" s="117" t="n">
        <v>0</v>
      </c>
      <c r="D89" s="117" t="n">
        <v>0</v>
      </c>
      <c r="E89" s="117" t="n">
        <v>0</v>
      </c>
      <c r="F89" s="117" t="n">
        <v>0</v>
      </c>
    </row>
    <row r="90">
      <c r="A90" s="117" t="inlineStr">
        <is>
          <t>Active Wallets (monthly)</t>
        </is>
      </c>
    </row>
    <row r="91">
      <c r="A91" s="117" t="inlineStr">
        <is>
          <t>Active Transactions per Wallet (Monthly)</t>
        </is>
      </c>
    </row>
    <row r="92">
      <c r="A92" s="117" t="inlineStr">
        <is>
          <t>RealGold Holders (Cumulative)</t>
        </is>
      </c>
      <c r="B92" s="250"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53" min="0" max="16383" man="1"/>
  </rowBreaks>
  <colBreaks count="4" manualBreakCount="4">
    <brk id="49" min="0" max="16383" man="1"/>
    <brk id="37" min="0" max="16383" man="1"/>
    <brk id="25" min="0" max="16383" man="1"/>
    <brk id="13" min="0" max="16383" man="1"/>
  </colBreaks>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BI6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Regen Assets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 / Tech Director</t>
        </is>
      </c>
      <c r="B3" s="133" t="n">
        <v>0</v>
      </c>
      <c r="C3" s="133" t="n">
        <v>0</v>
      </c>
      <c r="D3" s="133" t="n">
        <v>0</v>
      </c>
      <c r="E3" s="133" t="n">
        <v>0</v>
      </c>
      <c r="F3" s="133" t="n">
        <v>0</v>
      </c>
      <c r="G3" s="133" t="n">
        <v>0</v>
      </c>
      <c r="H3" s="133" t="n">
        <v>0</v>
      </c>
      <c r="I3" s="133" t="n">
        <v>0</v>
      </c>
      <c r="J3" s="133" t="n">
        <v>0</v>
      </c>
      <c r="K3" s="133" t="n">
        <v>0</v>
      </c>
      <c r="L3" s="133" t="n">
        <v>0</v>
      </c>
      <c r="M3" s="133">
        <f>Personnel!D21</f>
        <v/>
      </c>
      <c r="N3" s="133">
        <f>Personnel!D21</f>
        <v/>
      </c>
      <c r="O3" s="133">
        <f>Personnel!D21</f>
        <v/>
      </c>
      <c r="P3" s="133">
        <f>Personnel!D21</f>
        <v/>
      </c>
      <c r="Q3" s="133">
        <f>Personnel!D21</f>
        <v/>
      </c>
      <c r="R3" s="133">
        <f>Personnel!D21</f>
        <v/>
      </c>
      <c r="S3" s="133">
        <f>Personnel!D21</f>
        <v/>
      </c>
      <c r="T3" s="133">
        <f>Personnel!D21</f>
        <v/>
      </c>
      <c r="U3" s="133">
        <f>Personnel!D21</f>
        <v/>
      </c>
      <c r="V3" s="133">
        <f>Personnel!D21</f>
        <v/>
      </c>
      <c r="W3" s="133">
        <f>Personnel!D21</f>
        <v/>
      </c>
      <c r="X3" s="133">
        <f>Personnel!D21</f>
        <v/>
      </c>
      <c r="Y3" s="133">
        <f>Personnel!D21</f>
        <v/>
      </c>
      <c r="Z3" s="133">
        <f>Personnel!D21</f>
        <v/>
      </c>
      <c r="AA3" s="133">
        <f>Personnel!D21</f>
        <v/>
      </c>
      <c r="AB3" s="133">
        <f>Personnel!D21</f>
        <v/>
      </c>
      <c r="AC3" s="133">
        <f>Personnel!D21</f>
        <v/>
      </c>
      <c r="AD3" s="133">
        <f>Personnel!D21</f>
        <v/>
      </c>
      <c r="AE3" s="133">
        <f>Personnel!D21</f>
        <v/>
      </c>
      <c r="AF3" s="133" t="n">
        <v>0</v>
      </c>
      <c r="AG3" s="133" t="n">
        <v>0</v>
      </c>
      <c r="AH3" s="133" t="n">
        <v>0</v>
      </c>
      <c r="AI3" s="133" t="n">
        <v>0</v>
      </c>
      <c r="AJ3" s="133" t="n">
        <v>0</v>
      </c>
      <c r="AK3" s="133" t="n">
        <v>0</v>
      </c>
      <c r="AL3" s="133" t="n">
        <v>0</v>
      </c>
      <c r="AM3" s="133" t="n">
        <v>0</v>
      </c>
      <c r="AN3" s="133" t="n">
        <v>0</v>
      </c>
      <c r="AO3" s="133" t="n">
        <v>0</v>
      </c>
      <c r="AP3" s="133" t="n">
        <v>0</v>
      </c>
      <c r="AQ3" s="133" t="n">
        <v>0</v>
      </c>
      <c r="AR3" s="133" t="n">
        <v>0</v>
      </c>
      <c r="AS3" s="133" t="n">
        <v>0</v>
      </c>
      <c r="AT3" s="133" t="n">
        <v>0</v>
      </c>
      <c r="AU3" s="133" t="n">
        <v>0</v>
      </c>
      <c r="AV3" s="133" t="n">
        <v>0</v>
      </c>
      <c r="AW3" s="133" t="n">
        <v>0</v>
      </c>
      <c r="AX3" s="133" t="n">
        <v>0</v>
      </c>
      <c r="AY3" s="133" t="n">
        <v>0</v>
      </c>
      <c r="AZ3" s="133" t="n">
        <v>0</v>
      </c>
      <c r="BA3" s="133" t="n">
        <v>0</v>
      </c>
      <c r="BB3" s="133" t="n">
        <v>0</v>
      </c>
      <c r="BC3" s="133" t="n">
        <v>0</v>
      </c>
      <c r="BD3" s="133" t="n">
        <v>0</v>
      </c>
      <c r="BE3" s="133" t="n">
        <v>0</v>
      </c>
      <c r="BF3" s="133" t="n">
        <v>0</v>
      </c>
      <c r="BG3" s="133" t="n">
        <v>0</v>
      </c>
      <c r="BH3" s="133" t="n">
        <v>0</v>
      </c>
      <c r="BI3" s="133" t="n">
        <v>0</v>
      </c>
    </row>
    <row r="4">
      <c r="A4" s="38" t="inlineStr">
        <is>
          <t>Brand Director (RealGold)</t>
        </is>
      </c>
      <c r="B4" s="133" t="n">
        <v>6000</v>
      </c>
      <c r="C4" s="133" t="n">
        <v>3000</v>
      </c>
      <c r="D4" s="133" t="n">
        <v>3000</v>
      </c>
      <c r="E4" s="133" t="n">
        <v>3000</v>
      </c>
      <c r="F4" s="133" t="n">
        <v>3000</v>
      </c>
      <c r="G4" s="133" t="n">
        <v>3000</v>
      </c>
      <c r="H4" s="133" t="n">
        <v>3000</v>
      </c>
      <c r="I4" s="133" t="n">
        <v>3000</v>
      </c>
      <c r="J4" s="133" t="n">
        <v>6000</v>
      </c>
      <c r="K4" s="133" t="n">
        <v>6000</v>
      </c>
      <c r="L4" s="133" t="n">
        <v>3000</v>
      </c>
      <c r="M4" s="133" t="n">
        <v>6000</v>
      </c>
      <c r="N4" s="133" t="n">
        <v>0</v>
      </c>
      <c r="O4" s="133" t="n">
        <v>0</v>
      </c>
      <c r="P4" s="133" t="n">
        <v>0</v>
      </c>
      <c r="Q4" s="133" t="n">
        <v>0</v>
      </c>
      <c r="R4" s="133" t="n">
        <v>0</v>
      </c>
      <c r="S4" s="133" t="n">
        <v>0</v>
      </c>
      <c r="T4" s="133" t="n">
        <v>0</v>
      </c>
      <c r="U4" s="133" t="n">
        <v>0</v>
      </c>
      <c r="V4" s="133" t="n">
        <v>0</v>
      </c>
      <c r="W4" s="133" t="n">
        <v>0</v>
      </c>
      <c r="X4" s="133" t="n">
        <v>0</v>
      </c>
      <c r="Y4" s="133" t="n">
        <v>0</v>
      </c>
      <c r="Z4" s="133" t="n">
        <v>0</v>
      </c>
      <c r="AA4" s="133" t="n">
        <v>0</v>
      </c>
      <c r="AB4" s="133" t="n">
        <v>0</v>
      </c>
      <c r="AC4" s="133" t="n">
        <v>0</v>
      </c>
      <c r="AD4" s="133" t="n">
        <v>0</v>
      </c>
      <c r="AE4" s="133" t="n">
        <v>0</v>
      </c>
      <c r="AF4" s="133" t="n">
        <v>0</v>
      </c>
      <c r="AG4" s="133" t="n">
        <v>0</v>
      </c>
      <c r="AH4" s="133" t="n">
        <v>0</v>
      </c>
      <c r="AI4" s="133" t="n">
        <v>0</v>
      </c>
      <c r="AJ4" s="133" t="n">
        <v>0</v>
      </c>
      <c r="AK4" s="133" t="n">
        <v>0</v>
      </c>
      <c r="AL4" s="133" t="n">
        <v>0</v>
      </c>
      <c r="AM4" s="133" t="n">
        <v>0</v>
      </c>
      <c r="AN4" s="133" t="n">
        <v>0</v>
      </c>
      <c r="AO4" s="133" t="n">
        <v>0</v>
      </c>
      <c r="AP4" s="133" t="n">
        <v>0</v>
      </c>
      <c r="AQ4" s="133" t="n">
        <v>0</v>
      </c>
      <c r="AR4" s="133" t="n">
        <v>0</v>
      </c>
      <c r="AS4" s="133" t="n">
        <v>0</v>
      </c>
      <c r="AT4" s="133" t="n">
        <v>0</v>
      </c>
      <c r="AU4" s="133" t="n">
        <v>0</v>
      </c>
      <c r="AV4" s="133" t="n">
        <v>0</v>
      </c>
      <c r="AW4" s="133" t="n">
        <v>0</v>
      </c>
      <c r="AX4" s="133" t="n">
        <v>0</v>
      </c>
      <c r="AY4" s="133" t="n">
        <v>0</v>
      </c>
      <c r="AZ4" s="133" t="n">
        <v>0</v>
      </c>
      <c r="BA4" s="133" t="n">
        <v>0</v>
      </c>
      <c r="BB4" s="133" t="n">
        <v>0</v>
      </c>
      <c r="BC4" s="133" t="n">
        <v>0</v>
      </c>
      <c r="BD4" s="133" t="n">
        <v>0</v>
      </c>
      <c r="BE4" s="133" t="n">
        <v>0</v>
      </c>
      <c r="BF4" s="133" t="n">
        <v>0</v>
      </c>
      <c r="BG4" s="133" t="n">
        <v>0</v>
      </c>
      <c r="BH4" s="133" t="n">
        <v>0</v>
      </c>
      <c r="BI4" s="133" t="n">
        <v>0</v>
      </c>
    </row>
    <row r="5">
      <c r="A5" s="38" t="inlineStr">
        <is>
          <t>Fundraising Director (RealGold)</t>
        </is>
      </c>
      <c r="B5" s="133" t="n">
        <v>0</v>
      </c>
      <c r="C5" s="133" t="n">
        <v>0</v>
      </c>
      <c r="D5" s="133" t="n">
        <v>0</v>
      </c>
      <c r="E5" s="133" t="n">
        <v>0</v>
      </c>
      <c r="F5" s="133" t="n">
        <v>0</v>
      </c>
      <c r="G5" s="133" t="n">
        <v>0</v>
      </c>
      <c r="H5" s="133" t="n">
        <v>0</v>
      </c>
      <c r="I5" s="133" t="n">
        <v>1000</v>
      </c>
      <c r="J5" s="133" t="n">
        <v>5000</v>
      </c>
      <c r="K5" s="133" t="n">
        <v>5000</v>
      </c>
      <c r="L5" s="133" t="n">
        <v>3000</v>
      </c>
      <c r="M5" s="133" t="n">
        <v>5000</v>
      </c>
      <c r="N5" s="133" t="n">
        <v>0</v>
      </c>
      <c r="O5" s="133" t="n">
        <v>0</v>
      </c>
      <c r="P5" s="133" t="n">
        <v>0</v>
      </c>
      <c r="Q5" s="133" t="n">
        <v>0</v>
      </c>
      <c r="R5" s="133" t="n">
        <v>0</v>
      </c>
      <c r="S5" s="133" t="n">
        <v>0</v>
      </c>
      <c r="T5" s="133" t="n">
        <v>0</v>
      </c>
      <c r="U5" s="133" t="n">
        <v>0</v>
      </c>
      <c r="V5" s="133" t="n">
        <v>0</v>
      </c>
      <c r="W5" s="133" t="n">
        <v>0</v>
      </c>
      <c r="X5" s="133" t="n">
        <v>0</v>
      </c>
      <c r="Y5" s="133" t="n">
        <v>0</v>
      </c>
      <c r="Z5" s="133" t="n">
        <v>0</v>
      </c>
      <c r="AA5" s="133" t="n">
        <v>0</v>
      </c>
      <c r="AB5" s="133" t="n">
        <v>0</v>
      </c>
      <c r="AC5" s="133" t="n">
        <v>0</v>
      </c>
      <c r="AD5" s="133" t="n">
        <v>0</v>
      </c>
      <c r="AE5" s="133" t="n">
        <v>0</v>
      </c>
      <c r="AF5" s="133" t="n">
        <v>0</v>
      </c>
      <c r="AG5" s="133" t="n">
        <v>0</v>
      </c>
      <c r="AH5" s="133" t="n">
        <v>0</v>
      </c>
      <c r="AI5" s="133" t="n">
        <v>0</v>
      </c>
      <c r="AJ5" s="133" t="n">
        <v>0</v>
      </c>
      <c r="AK5" s="133" t="n">
        <v>0</v>
      </c>
      <c r="AL5" s="133" t="n">
        <v>0</v>
      </c>
      <c r="AM5" s="133" t="n">
        <v>0</v>
      </c>
      <c r="AN5" s="133" t="n">
        <v>0</v>
      </c>
      <c r="AO5" s="133" t="n">
        <v>0</v>
      </c>
      <c r="AP5" s="133" t="n">
        <v>0</v>
      </c>
      <c r="AQ5" s="133" t="n">
        <v>0</v>
      </c>
      <c r="AR5" s="133" t="n">
        <v>0</v>
      </c>
      <c r="AS5" s="133" t="n">
        <v>0</v>
      </c>
      <c r="AT5" s="133" t="n">
        <v>0</v>
      </c>
      <c r="AU5" s="133" t="n">
        <v>0</v>
      </c>
      <c r="AV5" s="133" t="n">
        <v>0</v>
      </c>
      <c r="AW5" s="133" t="n">
        <v>0</v>
      </c>
      <c r="AX5" s="133" t="n">
        <v>0</v>
      </c>
      <c r="AY5" s="133" t="n">
        <v>0</v>
      </c>
      <c r="AZ5" s="133" t="n">
        <v>0</v>
      </c>
      <c r="BA5" s="133" t="n">
        <v>0</v>
      </c>
      <c r="BB5" s="133" t="n">
        <v>0</v>
      </c>
      <c r="BC5" s="133" t="n">
        <v>0</v>
      </c>
      <c r="BD5" s="133" t="n">
        <v>0</v>
      </c>
      <c r="BE5" s="133" t="n">
        <v>0</v>
      </c>
      <c r="BF5" s="133" t="n">
        <v>0</v>
      </c>
      <c r="BG5" s="133" t="n">
        <v>0</v>
      </c>
      <c r="BH5" s="133" t="n">
        <v>0</v>
      </c>
      <c r="BI5" s="133" t="n">
        <v>0</v>
      </c>
    </row>
    <row r="6">
      <c r="A6" s="38" t="inlineStr">
        <is>
          <t>Prospecting Director (RealGold)</t>
        </is>
      </c>
      <c r="B6" s="133" t="n">
        <v>0</v>
      </c>
      <c r="C6" s="133" t="n">
        <v>0</v>
      </c>
      <c r="D6" s="133" t="n">
        <v>0</v>
      </c>
      <c r="E6" s="133" t="n">
        <v>0</v>
      </c>
      <c r="F6" s="133" t="n">
        <v>0</v>
      </c>
      <c r="G6" s="133" t="n">
        <v>0</v>
      </c>
      <c r="H6" s="133" t="n">
        <v>0</v>
      </c>
      <c r="I6" s="133" t="n">
        <v>0</v>
      </c>
      <c r="J6" s="133" t="n">
        <v>2500</v>
      </c>
      <c r="K6" s="117" t="n">
        <v>2500</v>
      </c>
      <c r="L6" s="117" t="n">
        <v>1250</v>
      </c>
      <c r="M6" s="117" t="n">
        <v>5000</v>
      </c>
      <c r="Z6" s="133" t="n"/>
      <c r="AA6" s="133" t="n"/>
      <c r="AB6" s="133" t="n"/>
      <c r="AC6" s="133" t="n"/>
      <c r="AD6" s="133" t="n"/>
      <c r="AE6" s="133" t="n"/>
      <c r="AF6" s="133" t="n"/>
      <c r="AG6" s="133" t="n"/>
      <c r="AH6" s="133" t="n"/>
      <c r="AI6" s="133" t="n"/>
      <c r="AJ6" s="133" t="n"/>
      <c r="AK6" s="133" t="n"/>
      <c r="AL6" s="133" t="n"/>
      <c r="AM6" s="133" t="n"/>
      <c r="AN6" s="133" t="n"/>
      <c r="AO6" s="133" t="n"/>
      <c r="AP6" s="133" t="n"/>
      <c r="AQ6" s="133" t="n"/>
      <c r="AR6" s="133" t="n"/>
      <c r="AS6" s="133" t="n"/>
      <c r="AT6" s="133" t="n"/>
      <c r="AU6" s="133" t="n"/>
      <c r="AV6" s="133" t="n"/>
      <c r="AW6" s="133" t="n"/>
      <c r="AX6" s="133" t="n"/>
      <c r="AY6" s="133" t="n"/>
      <c r="AZ6" s="133" t="n"/>
      <c r="BA6" s="133" t="n"/>
      <c r="BB6" s="133" t="n"/>
      <c r="BC6" s="133" t="n"/>
      <c r="BD6" s="133" t="n"/>
      <c r="BE6" s="133" t="n"/>
      <c r="BF6" s="133" t="n"/>
      <c r="BG6" s="133" t="n"/>
      <c r="BH6" s="133" t="n"/>
      <c r="BI6" s="133" t="n"/>
    </row>
    <row r="7">
      <c r="A7" s="38" t="inlineStr">
        <is>
          <t>Front-end Developer</t>
        </is>
      </c>
      <c r="B7" s="133" t="n">
        <v>0</v>
      </c>
      <c r="C7" s="133" t="n">
        <v>0</v>
      </c>
      <c r="D7" s="133" t="n">
        <v>0</v>
      </c>
      <c r="E7" s="133" t="n">
        <v>0</v>
      </c>
      <c r="F7" s="133" t="n">
        <v>0</v>
      </c>
      <c r="G7" s="133" t="n">
        <v>0</v>
      </c>
      <c r="H7" s="133" t="n">
        <v>0</v>
      </c>
      <c r="I7" s="133" t="n">
        <v>0</v>
      </c>
      <c r="J7" s="133" t="n">
        <v>0</v>
      </c>
      <c r="K7" s="117" t="n">
        <v>0</v>
      </c>
      <c r="L7" s="117" t="n">
        <v>0</v>
      </c>
      <c r="M7" s="117" t="n">
        <v>0</v>
      </c>
      <c r="N7" s="117" t="n">
        <v>0</v>
      </c>
      <c r="O7" s="117" t="n">
        <v>0</v>
      </c>
      <c r="P7" s="117" t="n">
        <v>0</v>
      </c>
      <c r="Q7" s="117" t="n">
        <v>0</v>
      </c>
      <c r="R7" s="117" t="n">
        <v>0</v>
      </c>
      <c r="S7" s="117" t="n">
        <v>0</v>
      </c>
      <c r="T7" s="117" t="n">
        <v>0</v>
      </c>
      <c r="U7" s="117" t="n">
        <v>0</v>
      </c>
      <c r="V7" s="117" t="n">
        <v>0</v>
      </c>
      <c r="W7" s="133">
        <f>Personnel!D24</f>
        <v/>
      </c>
      <c r="X7" s="133">
        <f>Personnel!D24</f>
        <v/>
      </c>
      <c r="Y7" s="133">
        <f>Personnel!D24</f>
        <v/>
      </c>
      <c r="Z7" s="133" t="n">
        <v>0</v>
      </c>
      <c r="AA7" s="133" t="n">
        <v>0</v>
      </c>
      <c r="AB7" s="133" t="n">
        <v>0</v>
      </c>
      <c r="AC7" s="133" t="n">
        <v>0</v>
      </c>
      <c r="AD7" s="133" t="n">
        <v>0</v>
      </c>
      <c r="AE7" s="133" t="n">
        <v>0</v>
      </c>
      <c r="AF7" s="133" t="n">
        <v>0</v>
      </c>
      <c r="AG7" s="133" t="n">
        <v>0</v>
      </c>
      <c r="AH7" s="133" t="n">
        <v>0</v>
      </c>
      <c r="AI7" s="133" t="n">
        <v>0</v>
      </c>
      <c r="AJ7" s="133" t="n">
        <v>0</v>
      </c>
      <c r="AK7" s="133" t="n">
        <v>0</v>
      </c>
      <c r="AL7" s="133" t="n">
        <v>0</v>
      </c>
      <c r="AM7" s="133" t="n">
        <v>0</v>
      </c>
      <c r="AN7" s="133" t="n">
        <v>0</v>
      </c>
      <c r="AO7" s="133" t="n">
        <v>0</v>
      </c>
      <c r="AP7" s="133" t="n">
        <v>0</v>
      </c>
      <c r="AQ7" s="133" t="n">
        <v>0</v>
      </c>
      <c r="AR7" s="133" t="n">
        <v>0</v>
      </c>
      <c r="AS7" s="133" t="n">
        <v>0</v>
      </c>
      <c r="AT7" s="133" t="n">
        <v>0</v>
      </c>
      <c r="AU7" s="133" t="n">
        <v>0</v>
      </c>
      <c r="AV7" s="133" t="n">
        <v>0</v>
      </c>
      <c r="AW7" s="133" t="n">
        <v>0</v>
      </c>
      <c r="AX7" s="133" t="n">
        <v>0</v>
      </c>
      <c r="AY7" s="133" t="n">
        <v>0</v>
      </c>
      <c r="AZ7" s="133" t="n">
        <v>0</v>
      </c>
      <c r="BA7" s="133" t="n">
        <v>0</v>
      </c>
      <c r="BB7" s="133" t="n">
        <v>0</v>
      </c>
      <c r="BC7" s="133" t="n">
        <v>0</v>
      </c>
      <c r="BD7" s="133" t="n">
        <v>0</v>
      </c>
      <c r="BE7" s="133" t="n">
        <v>0</v>
      </c>
      <c r="BF7" s="133" t="n">
        <v>0</v>
      </c>
      <c r="BG7" s="133" t="n">
        <v>0</v>
      </c>
      <c r="BH7" s="133" t="n">
        <v>0</v>
      </c>
      <c r="BI7" s="133" t="n">
        <v>0</v>
      </c>
    </row>
    <row r="8">
      <c r="A8" s="38" t="inlineStr">
        <is>
          <t>Rust Developer (Registry)</t>
        </is>
      </c>
      <c r="B8" s="133" t="n">
        <v>0</v>
      </c>
      <c r="C8" s="133" t="n">
        <v>0</v>
      </c>
      <c r="D8" s="133" t="n">
        <v>0</v>
      </c>
      <c r="E8" s="133" t="n">
        <v>0</v>
      </c>
      <c r="F8" s="133" t="n">
        <v>0</v>
      </c>
      <c r="G8" s="133" t="n">
        <v>0</v>
      </c>
      <c r="H8" s="133" t="n">
        <v>0</v>
      </c>
      <c r="I8" s="133" t="n">
        <v>0</v>
      </c>
      <c r="J8" s="117" t="n">
        <v>0</v>
      </c>
      <c r="K8" s="117" t="n">
        <v>0</v>
      </c>
      <c r="L8" s="117" t="n">
        <v>0</v>
      </c>
      <c r="M8" s="117" t="n">
        <v>0</v>
      </c>
      <c r="N8" s="117" t="n">
        <v>0</v>
      </c>
      <c r="O8" s="133">
        <f>Personnel!D22</f>
        <v/>
      </c>
      <c r="P8" s="133">
        <f>Personnel!D22</f>
        <v/>
      </c>
      <c r="Q8" s="133">
        <f>Personnel!D22</f>
        <v/>
      </c>
      <c r="R8" s="133">
        <f>Personnel!D22</f>
        <v/>
      </c>
      <c r="S8" s="133">
        <f>Personnel!D22</f>
        <v/>
      </c>
      <c r="T8" s="133">
        <f>Personnel!D22</f>
        <v/>
      </c>
      <c r="U8" s="133">
        <f>Personnel!D22</f>
        <v/>
      </c>
      <c r="V8" s="133">
        <f>Personnel!D22</f>
        <v/>
      </c>
      <c r="W8" s="133">
        <f>Personnel!D22</f>
        <v/>
      </c>
      <c r="X8" s="133">
        <f>Personnel!D22</f>
        <v/>
      </c>
      <c r="Y8" s="133">
        <f>Personnel!D22</f>
        <v/>
      </c>
      <c r="Z8" s="133">
        <f>Personnel!D22</f>
        <v/>
      </c>
      <c r="AA8" s="133">
        <f>Personnel!D22</f>
        <v/>
      </c>
      <c r="AB8" s="133">
        <f>Personnel!D22</f>
        <v/>
      </c>
      <c r="AC8" s="133">
        <f>Personnel!D22</f>
        <v/>
      </c>
      <c r="AD8" s="133">
        <f>Personnel!D22</f>
        <v/>
      </c>
      <c r="AE8" s="133">
        <f>Personnel!D22</f>
        <v/>
      </c>
      <c r="AF8" s="133">
        <f>Personnel!D22</f>
        <v/>
      </c>
      <c r="AG8" s="133">
        <f>Personnel!D22</f>
        <v/>
      </c>
      <c r="AH8" s="133">
        <f>Personnel!D22</f>
        <v/>
      </c>
      <c r="AI8" s="133">
        <f>Personnel!D22</f>
        <v/>
      </c>
      <c r="AJ8" s="133">
        <f>Personnel!D22</f>
        <v/>
      </c>
      <c r="AK8" s="133">
        <f>Personnel!D22</f>
        <v/>
      </c>
      <c r="AL8" s="133">
        <f>Personnel!D22</f>
        <v/>
      </c>
      <c r="AM8" s="133">
        <f>Personnel!D22</f>
        <v/>
      </c>
      <c r="AN8" s="133">
        <f>Personnel!D22</f>
        <v/>
      </c>
      <c r="AO8" s="133">
        <f>Personnel!D22</f>
        <v/>
      </c>
      <c r="AP8" s="133">
        <f>Personnel!D22</f>
        <v/>
      </c>
      <c r="AQ8" s="133">
        <f>Personnel!D22</f>
        <v/>
      </c>
      <c r="AR8" s="133">
        <f>Personnel!D22</f>
        <v/>
      </c>
      <c r="AS8" s="133">
        <f>Personnel!D22</f>
        <v/>
      </c>
      <c r="AT8" s="133">
        <f>Personnel!D22</f>
        <v/>
      </c>
      <c r="AU8" s="133">
        <f>Personnel!D22</f>
        <v/>
      </c>
      <c r="AV8" s="133">
        <f>Personnel!D22</f>
        <v/>
      </c>
      <c r="AW8" s="133">
        <f>Personnel!D22</f>
        <v/>
      </c>
      <c r="AX8" s="133">
        <f>Personnel!D22</f>
        <v/>
      </c>
      <c r="AY8" s="133">
        <f>Personnel!D22</f>
        <v/>
      </c>
      <c r="AZ8" s="133">
        <f>Personnel!D22</f>
        <v/>
      </c>
      <c r="BA8" s="133">
        <f>Personnel!D22</f>
        <v/>
      </c>
      <c r="BB8" s="133">
        <f>Personnel!D22</f>
        <v/>
      </c>
      <c r="BC8" s="133">
        <f>Personnel!D22</f>
        <v/>
      </c>
      <c r="BD8" s="133">
        <f>Personnel!D22</f>
        <v/>
      </c>
      <c r="BE8" s="133">
        <f>Personnel!D22</f>
        <v/>
      </c>
      <c r="BF8" s="133">
        <f>Personnel!D22</f>
        <v/>
      </c>
      <c r="BG8" s="133">
        <f>Personnel!D22</f>
        <v/>
      </c>
      <c r="BH8" s="133">
        <f>Personnel!D22</f>
        <v/>
      </c>
      <c r="BI8" s="133">
        <f>Personnel!D22</f>
        <v/>
      </c>
    </row>
    <row r="9">
      <c r="A9" s="38" t="inlineStr">
        <is>
          <t>Blockchain Developer (Smart Treasury)</t>
        </is>
      </c>
      <c r="B9" s="133" t="n">
        <v>0</v>
      </c>
      <c r="C9" s="133" t="n">
        <v>0</v>
      </c>
      <c r="D9" s="133" t="n">
        <v>0</v>
      </c>
      <c r="E9" s="133" t="n">
        <v>0</v>
      </c>
      <c r="F9" s="133" t="n">
        <v>0</v>
      </c>
      <c r="G9" s="133" t="n">
        <v>0</v>
      </c>
      <c r="H9" s="117" t="n">
        <v>0</v>
      </c>
      <c r="I9" s="117" t="n">
        <v>0</v>
      </c>
      <c r="J9" s="133" t="n">
        <v>0</v>
      </c>
      <c r="K9" s="117" t="n">
        <v>0</v>
      </c>
      <c r="L9" s="117" t="n">
        <v>0</v>
      </c>
      <c r="M9" s="117" t="n">
        <v>0</v>
      </c>
      <c r="N9" s="117" t="n">
        <v>0</v>
      </c>
      <c r="O9" s="133">
        <f>Personnel!D23</f>
        <v/>
      </c>
      <c r="P9" s="133">
        <f>Personnel!D23</f>
        <v/>
      </c>
      <c r="Q9" s="133">
        <f>Personnel!D23</f>
        <v/>
      </c>
      <c r="R9" s="133">
        <f>Personnel!D23</f>
        <v/>
      </c>
      <c r="S9" s="133">
        <f>Personnel!D23</f>
        <v/>
      </c>
      <c r="T9" s="133">
        <f>Personnel!D23</f>
        <v/>
      </c>
      <c r="U9" s="133">
        <f>Personnel!D23</f>
        <v/>
      </c>
      <c r="V9" s="133">
        <f>Personnel!D23</f>
        <v/>
      </c>
      <c r="W9" s="133">
        <f>Personnel!D23</f>
        <v/>
      </c>
      <c r="X9" s="133">
        <f>Personnel!D23</f>
        <v/>
      </c>
      <c r="Y9" s="133">
        <f>Personnel!D23</f>
        <v/>
      </c>
      <c r="Z9" s="117" t="n">
        <v>0</v>
      </c>
      <c r="AA9" s="117" t="n">
        <v>0</v>
      </c>
      <c r="AB9" s="117" t="n">
        <v>0</v>
      </c>
      <c r="AC9" s="117" t="n">
        <v>0</v>
      </c>
      <c r="AD9" s="117" t="n">
        <v>0</v>
      </c>
      <c r="AE9" s="117" t="n">
        <v>0</v>
      </c>
      <c r="AF9" s="117" t="n">
        <v>0</v>
      </c>
      <c r="AG9" s="133" t="n">
        <v>0</v>
      </c>
      <c r="AH9" s="133" t="n">
        <v>0</v>
      </c>
      <c r="AI9" s="133" t="n">
        <v>0</v>
      </c>
      <c r="AJ9" s="133" t="n">
        <v>0</v>
      </c>
      <c r="AK9" s="133" t="n">
        <v>0</v>
      </c>
      <c r="AL9" s="133" t="n">
        <v>0</v>
      </c>
      <c r="AM9" s="133" t="n">
        <v>0</v>
      </c>
      <c r="AN9" s="133" t="n">
        <v>0</v>
      </c>
      <c r="AO9" s="133" t="n">
        <v>0</v>
      </c>
      <c r="AP9" s="133" t="n">
        <v>0</v>
      </c>
      <c r="AQ9" s="133" t="n">
        <v>0</v>
      </c>
      <c r="AR9" s="133" t="n">
        <v>0</v>
      </c>
      <c r="AS9" s="133" t="n">
        <v>0</v>
      </c>
      <c r="AT9" s="133" t="n">
        <v>0</v>
      </c>
      <c r="AU9" s="133" t="n">
        <v>0</v>
      </c>
      <c r="AV9" s="133" t="n">
        <v>0</v>
      </c>
      <c r="AW9" s="133" t="n">
        <v>0</v>
      </c>
      <c r="AX9" s="133" t="n">
        <v>0</v>
      </c>
      <c r="AY9" s="133" t="n">
        <v>0</v>
      </c>
      <c r="AZ9" s="133" t="n">
        <v>0</v>
      </c>
      <c r="BA9" s="133" t="n">
        <v>0</v>
      </c>
      <c r="BB9" s="133" t="n">
        <v>0</v>
      </c>
      <c r="BC9" s="133" t="n">
        <v>0</v>
      </c>
      <c r="BD9" s="133" t="n">
        <v>0</v>
      </c>
      <c r="BE9" s="133" t="n">
        <v>0</v>
      </c>
      <c r="BF9" s="133" t="n">
        <v>0</v>
      </c>
      <c r="BG9" s="133" t="n">
        <v>0</v>
      </c>
      <c r="BH9" s="133" t="n">
        <v>0</v>
      </c>
      <c r="BI9" s="133" t="n">
        <v>0</v>
      </c>
    </row>
    <row r="10">
      <c r="A10" s="108" t="inlineStr">
        <is>
          <t>Total Personnel Stipends</t>
        </is>
      </c>
      <c r="B10" s="261">
        <f>SUM(B3:B9)</f>
        <v/>
      </c>
      <c r="C10" s="261">
        <f>SUM(C3:C9)</f>
        <v/>
      </c>
      <c r="D10" s="261">
        <f>SUM(D3:D9)</f>
        <v/>
      </c>
      <c r="E10" s="261">
        <f>SUM(E3:E9)</f>
        <v/>
      </c>
      <c r="F10" s="261">
        <f>SUM(F3:F9)</f>
        <v/>
      </c>
      <c r="G10" s="261">
        <f>SUM(G3:G9)</f>
        <v/>
      </c>
      <c r="H10" s="261">
        <f>SUM(H3:H9)</f>
        <v/>
      </c>
      <c r="I10" s="261">
        <f>SUM(I3:I9)</f>
        <v/>
      </c>
      <c r="J10" s="261">
        <f>SUM(J3:J9)</f>
        <v/>
      </c>
      <c r="K10" s="261">
        <f>SUM(K3:K9)</f>
        <v/>
      </c>
      <c r="L10" s="261">
        <f>SUM(L3:L9)</f>
        <v/>
      </c>
      <c r="M10" s="261">
        <f>SUM(M3:M9)</f>
        <v/>
      </c>
      <c r="N10" s="261">
        <f>SUM(N3:N9)</f>
        <v/>
      </c>
      <c r="O10" s="261">
        <f>SUM(O3:O9)</f>
        <v/>
      </c>
      <c r="P10" s="261">
        <f>SUM(P3:P9)</f>
        <v/>
      </c>
      <c r="Q10" s="261">
        <f>SUM(Q3:Q9)</f>
        <v/>
      </c>
      <c r="R10" s="261">
        <f>SUM(R3:R9)</f>
        <v/>
      </c>
      <c r="S10" s="261">
        <f>SUM(S3:S9)</f>
        <v/>
      </c>
      <c r="T10" s="261">
        <f>SUM(T3:T9)</f>
        <v/>
      </c>
      <c r="U10" s="261">
        <f>SUM(U3:U9)</f>
        <v/>
      </c>
      <c r="V10" s="261">
        <f>SUM(V3:V9)</f>
        <v/>
      </c>
      <c r="W10" s="261">
        <f>SUM(W3:W9)</f>
        <v/>
      </c>
      <c r="X10" s="261">
        <f>SUM(X3:X9)</f>
        <v/>
      </c>
      <c r="Y10" s="261">
        <f>SUM(Y3:Y9)</f>
        <v/>
      </c>
      <c r="Z10" s="205">
        <f>SUM(Z3:Z9)</f>
        <v/>
      </c>
      <c r="AA10" s="205">
        <f>SUM(AA3:AA9)</f>
        <v/>
      </c>
      <c r="AB10" s="205">
        <f>SUM(AB3:AB9)</f>
        <v/>
      </c>
      <c r="AC10" s="205">
        <f>SUM(AC3:AC9)</f>
        <v/>
      </c>
      <c r="AD10" s="205">
        <f>SUM(AD3:AD9)</f>
        <v/>
      </c>
      <c r="AE10" s="205">
        <f>SUM(AE3:AE9)</f>
        <v/>
      </c>
      <c r="AF10" s="205">
        <f>SUM(AF3:AF9)</f>
        <v/>
      </c>
      <c r="AG10" s="205">
        <f>SUM(AG3:AG9)</f>
        <v/>
      </c>
      <c r="AH10" s="205">
        <f>SUM(AH3:AH9)</f>
        <v/>
      </c>
      <c r="AI10" s="205">
        <f>SUM(AI3:AI9)</f>
        <v/>
      </c>
      <c r="AJ10" s="205">
        <f>SUM(AJ3:AJ9)</f>
        <v/>
      </c>
      <c r="AK10" s="205">
        <f>SUM(AK3:AK9)</f>
        <v/>
      </c>
      <c r="AL10" s="205">
        <f>SUM(AL3:AL9)</f>
        <v/>
      </c>
      <c r="AM10" s="205">
        <f>SUM(AM3:AM9)</f>
        <v/>
      </c>
      <c r="AN10" s="205">
        <f>SUM(AN3:AN9)</f>
        <v/>
      </c>
      <c r="AO10" s="205">
        <f>SUM(AO3:AO9)</f>
        <v/>
      </c>
      <c r="AP10" s="205">
        <f>SUM(AP3:AP9)</f>
        <v/>
      </c>
      <c r="AQ10" s="205">
        <f>SUM(AQ3:AQ9)</f>
        <v/>
      </c>
      <c r="AR10" s="205">
        <f>SUM(AR3:AR9)</f>
        <v/>
      </c>
      <c r="AS10" s="205">
        <f>SUM(AS3:AS9)</f>
        <v/>
      </c>
      <c r="AT10" s="205">
        <f>SUM(AT3:AT9)</f>
        <v/>
      </c>
      <c r="AU10" s="205">
        <f>SUM(AU3:AU9)</f>
        <v/>
      </c>
      <c r="AV10" s="205">
        <f>SUM(AV3:AV9)</f>
        <v/>
      </c>
      <c r="AW10" s="205">
        <f>SUM(AW3:AW9)</f>
        <v/>
      </c>
      <c r="AX10" s="205">
        <f>SUM(AX3:AX9)</f>
        <v/>
      </c>
      <c r="AY10" s="205">
        <f>SUM(AY3:AY9)</f>
        <v/>
      </c>
      <c r="AZ10" s="205">
        <f>SUM(AZ3:AZ9)</f>
        <v/>
      </c>
      <c r="BA10" s="205">
        <f>SUM(BA3:BA9)</f>
        <v/>
      </c>
      <c r="BB10" s="205">
        <f>SUM(BB3:BB9)</f>
        <v/>
      </c>
      <c r="BC10" s="205">
        <f>SUM(BC3:BC9)</f>
        <v/>
      </c>
      <c r="BD10" s="205">
        <f>SUM(BD3:BD9)</f>
        <v/>
      </c>
      <c r="BE10" s="205">
        <f>SUM(BE3:BE9)</f>
        <v/>
      </c>
      <c r="BF10" s="205">
        <f>SUM(BF3:BF9)</f>
        <v/>
      </c>
      <c r="BG10" s="205">
        <f>SUM(BG3:BG9)</f>
        <v/>
      </c>
      <c r="BH10" s="205">
        <f>SUM(BH3:BH9)</f>
        <v/>
      </c>
      <c r="BI10" s="205">
        <f>SUM(BI3:BI9)</f>
        <v/>
      </c>
    </row>
    <row r="11">
      <c r="A11" s="128" t="n"/>
      <c r="B11" s="128" t="n"/>
      <c r="C11" s="128" t="n"/>
      <c r="D11" s="128" t="n"/>
      <c r="E11" s="128" t="n"/>
      <c r="F11" s="128" t="n"/>
      <c r="G11" s="128" t="n"/>
      <c r="H11" s="128" t="n"/>
      <c r="I11" s="128" t="n"/>
      <c r="J11" s="128" t="n"/>
      <c r="K11" s="128" t="n"/>
      <c r="L11" s="128" t="n"/>
      <c r="M11" s="128" t="n"/>
      <c r="N11" s="128" t="n"/>
      <c r="O11" s="128" t="n"/>
      <c r="P11" s="128" t="n"/>
      <c r="Q11" s="128" t="n"/>
      <c r="R11" s="128" t="n"/>
      <c r="S11" s="128" t="n"/>
      <c r="T11" s="128" t="n"/>
      <c r="U11" s="128" t="n"/>
      <c r="V11" s="128" t="n"/>
      <c r="W11" s="128" t="n"/>
      <c r="X11" s="128" t="n"/>
      <c r="Y11" s="128" t="n"/>
      <c r="Z11" s="194" t="n"/>
      <c r="AA11" s="194" t="n"/>
      <c r="AB11" s="194" t="n"/>
      <c r="AC11" s="194" t="n"/>
      <c r="AD11" s="194" t="n"/>
      <c r="AE11" s="194" t="n"/>
      <c r="AF11" s="194" t="n"/>
      <c r="AG11" s="194" t="n"/>
      <c r="AH11" s="194" t="n"/>
      <c r="AI11" s="194" t="n"/>
      <c r="AJ11" s="194" t="n"/>
      <c r="AK11" s="194" t="n"/>
      <c r="AL11" s="194" t="n"/>
      <c r="AM11" s="194"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c r="BG11" s="194" t="n"/>
      <c r="BH11" s="194" t="n"/>
      <c r="BI11" s="194" t="n"/>
    </row>
    <row r="12">
      <c r="A12" s="36" t="inlineStr">
        <is>
          <t>Expenditures</t>
        </is>
      </c>
      <c r="B12" s="94" t="n"/>
      <c r="C12" s="94" t="n"/>
      <c r="D12" s="94" t="n"/>
      <c r="E12" s="94"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row>
    <row r="13">
      <c r="A13" s="38" t="inlineStr">
        <is>
          <t>January Retreat / Feb Travel</t>
        </is>
      </c>
      <c r="B13" s="133" t="n">
        <v>15000</v>
      </c>
      <c r="C13" s="133" t="n">
        <v>0</v>
      </c>
      <c r="D13" s="133" t="n">
        <v>0</v>
      </c>
      <c r="E13" s="133" t="n">
        <v>0</v>
      </c>
      <c r="F13" s="133" t="n">
        <v>0</v>
      </c>
      <c r="G13" s="133" t="n">
        <v>0</v>
      </c>
      <c r="H13" s="133" t="n">
        <v>0</v>
      </c>
      <c r="I13" s="133" t="n"/>
      <c r="J13" s="133" t="n"/>
      <c r="K13" s="133" t="n"/>
      <c r="L13" s="133" t="n"/>
      <c r="M13" s="133" t="n"/>
      <c r="N13" s="133" t="n"/>
      <c r="O13" s="133" t="n"/>
      <c r="P13" s="133" t="n"/>
      <c r="Q13" s="133" t="n"/>
      <c r="R13" s="133" t="n"/>
      <c r="S13" s="133" t="n"/>
      <c r="T13" s="133" t="n"/>
      <c r="U13" s="133" t="n"/>
      <c r="V13" s="133" t="n"/>
      <c r="W13" s="133" t="n"/>
      <c r="X13" s="133" t="n"/>
      <c r="Y13" s="133" t="n"/>
      <c r="Z13" s="133" t="n"/>
      <c r="AA13" s="133" t="n"/>
      <c r="AB13" s="133" t="n"/>
      <c r="AC13" s="133" t="n"/>
      <c r="AD13" s="133" t="n"/>
      <c r="AE13" s="133" t="n"/>
      <c r="AF13" s="133" t="n"/>
      <c r="AG13" s="133" t="n"/>
      <c r="AH13" s="133" t="n"/>
      <c r="AI13" s="133" t="n"/>
      <c r="AJ13" s="133" t="n"/>
      <c r="AK13" s="133" t="n"/>
      <c r="AL13" s="133" t="n"/>
      <c r="AM13" s="133" t="n"/>
      <c r="AN13" s="133" t="n"/>
      <c r="AO13" s="133" t="n"/>
      <c r="AP13" s="133" t="n"/>
      <c r="AQ13" s="133" t="n"/>
      <c r="AR13" s="133" t="n"/>
      <c r="AS13" s="133" t="n"/>
      <c r="AT13" s="133" t="n"/>
      <c r="AU13" s="133" t="n"/>
      <c r="AV13" s="133" t="n"/>
      <c r="AW13" s="133" t="n"/>
      <c r="AX13" s="133" t="n"/>
      <c r="AY13" s="133" t="n"/>
      <c r="AZ13" s="133" t="n"/>
      <c r="BA13" s="133" t="n"/>
      <c r="BB13" s="133" t="n"/>
      <c r="BC13" s="133" t="n"/>
      <c r="BD13" s="133" t="n"/>
      <c r="BE13" s="133" t="n"/>
      <c r="BF13" s="133" t="n"/>
      <c r="BG13" s="133" t="n"/>
      <c r="BH13" s="133" t="n"/>
      <c r="BI13" s="133" t="n"/>
    </row>
    <row r="14">
      <c r="A14" s="38" t="inlineStr">
        <is>
          <t>Registered Agent, State Filing Fees, Etc.</t>
        </is>
      </c>
      <c r="B14" s="133" t="n">
        <v>0</v>
      </c>
      <c r="C14" s="133" t="n">
        <v>0</v>
      </c>
      <c r="D14" s="133" t="n">
        <v>0</v>
      </c>
      <c r="E14" s="133" t="n">
        <v>0</v>
      </c>
      <c r="F14" s="133" t="n">
        <v>0</v>
      </c>
      <c r="G14" s="133" t="n">
        <v>0</v>
      </c>
      <c r="H14" s="133" t="n">
        <v>0</v>
      </c>
      <c r="I14" s="133" t="n">
        <v>349</v>
      </c>
      <c r="J14" s="133" t="n">
        <v>0</v>
      </c>
      <c r="K14" s="133" t="n">
        <v>0</v>
      </c>
      <c r="L14" s="133" t="n">
        <v>0</v>
      </c>
      <c r="M14" s="133" t="n">
        <v>0</v>
      </c>
      <c r="N14" s="133" t="n">
        <v>0</v>
      </c>
      <c r="O14" s="133" t="n">
        <v>0</v>
      </c>
      <c r="P14" s="133" t="n">
        <v>0</v>
      </c>
      <c r="Q14" s="133" t="n">
        <v>0</v>
      </c>
      <c r="R14" s="133" t="n">
        <v>0</v>
      </c>
      <c r="S14" s="133" t="n">
        <v>0</v>
      </c>
      <c r="T14" s="133" t="n">
        <v>0</v>
      </c>
      <c r="U14" s="133" t="n">
        <v>0</v>
      </c>
      <c r="V14" s="133" t="n">
        <v>0</v>
      </c>
      <c r="W14" s="133" t="n">
        <v>0</v>
      </c>
      <c r="X14" s="133" t="n">
        <v>0</v>
      </c>
      <c r="Y14" s="133" t="n">
        <v>0</v>
      </c>
      <c r="Z14" s="133" t="n">
        <v>0</v>
      </c>
      <c r="AA14" s="133" t="n">
        <v>0</v>
      </c>
      <c r="AB14" s="133" t="n">
        <v>0</v>
      </c>
      <c r="AC14" s="133" t="n">
        <v>0</v>
      </c>
      <c r="AD14" s="133" t="n">
        <v>0</v>
      </c>
      <c r="AE14" s="133" t="n">
        <v>0</v>
      </c>
      <c r="AF14" s="133" t="n">
        <v>0</v>
      </c>
      <c r="AG14" s="133" t="n">
        <v>0</v>
      </c>
      <c r="AH14" s="133" t="n">
        <v>0</v>
      </c>
      <c r="AI14" s="133" t="n">
        <v>0</v>
      </c>
      <c r="AJ14" s="133" t="n">
        <v>0</v>
      </c>
      <c r="AK14" s="133" t="n">
        <v>0</v>
      </c>
      <c r="AL14" s="133" t="n">
        <v>0</v>
      </c>
      <c r="AM14" s="133" t="n">
        <v>0</v>
      </c>
      <c r="AN14" s="133" t="n">
        <v>0</v>
      </c>
      <c r="AO14" s="133" t="n">
        <v>0</v>
      </c>
      <c r="AP14" s="133" t="n">
        <v>0</v>
      </c>
      <c r="AQ14" s="133" t="n">
        <v>0</v>
      </c>
      <c r="AR14" s="133" t="n">
        <v>0</v>
      </c>
      <c r="AS14" s="133" t="n">
        <v>0</v>
      </c>
      <c r="AT14" s="133" t="n">
        <v>0</v>
      </c>
      <c r="AU14" s="133" t="n">
        <v>0</v>
      </c>
      <c r="AV14" s="133" t="n">
        <v>0</v>
      </c>
      <c r="AW14" s="133" t="n">
        <v>0</v>
      </c>
      <c r="AX14" s="133" t="n">
        <v>0</v>
      </c>
      <c r="AY14" s="133" t="n">
        <v>0</v>
      </c>
      <c r="AZ14" s="133" t="n">
        <v>0</v>
      </c>
      <c r="BA14" s="133" t="n">
        <v>0</v>
      </c>
      <c r="BB14" s="133" t="n">
        <v>0</v>
      </c>
      <c r="BC14" s="133" t="n">
        <v>0</v>
      </c>
      <c r="BD14" s="133" t="n">
        <v>0</v>
      </c>
      <c r="BE14" s="133" t="n">
        <v>0</v>
      </c>
      <c r="BF14" s="133" t="n">
        <v>0</v>
      </c>
      <c r="BG14" s="133" t="n">
        <v>0</v>
      </c>
      <c r="BH14" s="133" t="n">
        <v>0</v>
      </c>
      <c r="BI14" s="133" t="n">
        <v>0</v>
      </c>
    </row>
    <row r="15">
      <c r="A15" s="38" t="inlineStr">
        <is>
          <t>Trademarks &amp; Patents</t>
        </is>
      </c>
      <c r="B15" s="133" t="n">
        <v>0</v>
      </c>
      <c r="C15" s="133" t="n">
        <v>0</v>
      </c>
      <c r="D15" s="133" t="n">
        <v>0</v>
      </c>
      <c r="E15" s="133" t="n">
        <v>0</v>
      </c>
      <c r="F15" s="133" t="n">
        <v>0</v>
      </c>
      <c r="G15" s="133" t="n">
        <v>0</v>
      </c>
      <c r="H15" s="133" t="n">
        <v>0</v>
      </c>
      <c r="I15" s="117" t="n">
        <v>0</v>
      </c>
      <c r="J15" s="133" t="n">
        <v>4012</v>
      </c>
      <c r="K15" s="133" t="n">
        <v>0</v>
      </c>
      <c r="L15" s="133" t="n">
        <v>0</v>
      </c>
      <c r="M15" s="133" t="n">
        <v>0</v>
      </c>
      <c r="N15" s="133" t="n">
        <v>0</v>
      </c>
      <c r="O15" s="133" t="n">
        <v>0</v>
      </c>
      <c r="P15" s="133" t="n">
        <v>0</v>
      </c>
      <c r="Q15" s="133" t="n">
        <v>0</v>
      </c>
      <c r="R15" s="133" t="n">
        <v>0</v>
      </c>
      <c r="S15" s="133" t="n">
        <v>0</v>
      </c>
      <c r="T15" s="133" t="n">
        <v>0</v>
      </c>
      <c r="U15" s="133" t="n">
        <v>0</v>
      </c>
      <c r="V15" s="133" t="n">
        <v>0</v>
      </c>
      <c r="W15" s="133" t="n">
        <v>0</v>
      </c>
      <c r="X15" s="133" t="n">
        <v>0</v>
      </c>
      <c r="Y15" s="133" t="n">
        <v>0</v>
      </c>
      <c r="Z15" s="133" t="n">
        <v>0</v>
      </c>
      <c r="AA15" s="133" t="n">
        <v>0</v>
      </c>
      <c r="AB15" s="133" t="n">
        <v>0</v>
      </c>
      <c r="AC15" s="133" t="n">
        <v>0</v>
      </c>
      <c r="AD15" s="133" t="n">
        <v>0</v>
      </c>
      <c r="AE15" s="133" t="n">
        <v>0</v>
      </c>
      <c r="AF15" s="133" t="n">
        <v>0</v>
      </c>
      <c r="AG15" s="133" t="n">
        <v>0</v>
      </c>
      <c r="AH15" s="133" t="n">
        <v>0</v>
      </c>
      <c r="AI15" s="133" t="n">
        <v>0</v>
      </c>
      <c r="AJ15" s="133" t="n">
        <v>0</v>
      </c>
      <c r="AK15" s="133" t="n">
        <v>0</v>
      </c>
      <c r="AL15" s="133" t="n">
        <v>0</v>
      </c>
      <c r="AM15" s="133" t="n">
        <v>0</v>
      </c>
      <c r="AN15" s="133" t="n">
        <v>0</v>
      </c>
      <c r="AO15" s="133" t="n">
        <v>0</v>
      </c>
      <c r="AP15" s="133" t="n">
        <v>0</v>
      </c>
      <c r="AQ15" s="133" t="n">
        <v>0</v>
      </c>
      <c r="AR15" s="133" t="n">
        <v>0</v>
      </c>
      <c r="AS15" s="133" t="n">
        <v>0</v>
      </c>
      <c r="AT15" s="133" t="n">
        <v>0</v>
      </c>
      <c r="AU15" s="133" t="n">
        <v>0</v>
      </c>
      <c r="AV15" s="133" t="n">
        <v>0</v>
      </c>
      <c r="AW15" s="133" t="n">
        <v>0</v>
      </c>
      <c r="AX15" s="133" t="n">
        <v>0</v>
      </c>
      <c r="AY15" s="133" t="n">
        <v>0</v>
      </c>
      <c r="AZ15" s="133" t="n">
        <v>0</v>
      </c>
      <c r="BA15" s="133" t="n">
        <v>0</v>
      </c>
      <c r="BB15" s="133" t="n">
        <v>0</v>
      </c>
      <c r="BC15" s="133" t="n">
        <v>0</v>
      </c>
      <c r="BD15" s="133" t="n">
        <v>0</v>
      </c>
      <c r="BE15" s="133" t="n">
        <v>0</v>
      </c>
      <c r="BF15" s="133" t="n">
        <v>0</v>
      </c>
      <c r="BG15" s="133" t="n">
        <v>0</v>
      </c>
      <c r="BH15" s="133" t="n">
        <v>0</v>
      </c>
      <c r="BI15" s="133" t="n">
        <v>0</v>
      </c>
    </row>
    <row r="16">
      <c r="A16" s="38" t="inlineStr">
        <is>
          <t>Team Travel</t>
        </is>
      </c>
      <c r="B16" s="133" t="n">
        <v>5000</v>
      </c>
      <c r="C16" s="133" t="n">
        <v>3000</v>
      </c>
      <c r="D16" s="133" t="n">
        <v>0</v>
      </c>
      <c r="E16" s="133" t="n">
        <v>0</v>
      </c>
      <c r="F16" s="133" t="n">
        <v>0</v>
      </c>
      <c r="G16" s="133" t="n">
        <v>0</v>
      </c>
      <c r="H16" s="133" t="n">
        <v>0</v>
      </c>
      <c r="I16" s="133" t="n">
        <v>0</v>
      </c>
      <c r="J16" s="133" t="n">
        <v>942.37</v>
      </c>
      <c r="K16" s="133" t="n">
        <v>0</v>
      </c>
      <c r="L16" s="133" t="n">
        <v>0</v>
      </c>
      <c r="M16" s="133" t="n">
        <v>0</v>
      </c>
      <c r="N16" s="133" t="n">
        <v>0</v>
      </c>
      <c r="O16" s="133" t="n">
        <v>0</v>
      </c>
      <c r="P16" s="133" t="n">
        <v>0</v>
      </c>
      <c r="Q16" s="133" t="n">
        <v>0</v>
      </c>
      <c r="R16" s="133" t="n">
        <v>0</v>
      </c>
      <c r="S16" s="133" t="n">
        <v>0</v>
      </c>
      <c r="T16" s="133" t="n">
        <v>0</v>
      </c>
      <c r="U16" s="133" t="n">
        <v>0</v>
      </c>
      <c r="V16" s="133" t="n">
        <v>0</v>
      </c>
      <c r="W16" s="133" t="n">
        <v>0</v>
      </c>
      <c r="X16" s="133" t="n">
        <v>0</v>
      </c>
      <c r="Y16" s="133" t="n">
        <v>0</v>
      </c>
      <c r="Z16" s="133" t="n">
        <v>0</v>
      </c>
      <c r="AA16" s="133" t="n">
        <v>0</v>
      </c>
      <c r="AB16" s="133" t="n">
        <v>0</v>
      </c>
      <c r="AC16" s="133" t="n">
        <v>0</v>
      </c>
      <c r="AD16" s="133" t="n">
        <v>0</v>
      </c>
      <c r="AE16" s="133" t="n">
        <v>0</v>
      </c>
      <c r="AF16" s="133" t="n">
        <v>0</v>
      </c>
      <c r="AG16" s="133" t="n">
        <v>0</v>
      </c>
      <c r="AH16" s="133" t="n">
        <v>0</v>
      </c>
      <c r="AI16" s="133" t="n">
        <v>0</v>
      </c>
      <c r="AJ16" s="133" t="n">
        <v>0</v>
      </c>
      <c r="AK16" s="133" t="n">
        <v>0</v>
      </c>
      <c r="AL16" s="133" t="n">
        <v>0</v>
      </c>
      <c r="AM16" s="133" t="n">
        <v>0</v>
      </c>
      <c r="AN16" s="133" t="n">
        <v>0</v>
      </c>
      <c r="AO16" s="133" t="n">
        <v>0</v>
      </c>
      <c r="AP16" s="133" t="n">
        <v>0</v>
      </c>
      <c r="AQ16" s="133" t="n">
        <v>0</v>
      </c>
      <c r="AR16" s="133" t="n">
        <v>0</v>
      </c>
      <c r="AS16" s="133" t="n">
        <v>0</v>
      </c>
      <c r="AT16" s="133" t="n">
        <v>0</v>
      </c>
      <c r="AU16" s="133" t="n">
        <v>0</v>
      </c>
      <c r="AV16" s="133" t="n">
        <v>0</v>
      </c>
      <c r="AW16" s="133" t="n">
        <v>0</v>
      </c>
      <c r="AX16" s="133" t="n">
        <v>0</v>
      </c>
      <c r="AY16" s="133" t="n">
        <v>0</v>
      </c>
      <c r="AZ16" s="133" t="n">
        <v>0</v>
      </c>
      <c r="BA16" s="133" t="n">
        <v>0</v>
      </c>
      <c r="BB16" s="133" t="n">
        <v>0</v>
      </c>
      <c r="BC16" s="133" t="n">
        <v>0</v>
      </c>
      <c r="BD16" s="133" t="n">
        <v>0</v>
      </c>
      <c r="BE16" s="133" t="n">
        <v>0</v>
      </c>
      <c r="BF16" s="133" t="n">
        <v>0</v>
      </c>
      <c r="BG16" s="133" t="n">
        <v>0</v>
      </c>
      <c r="BH16" s="133" t="n">
        <v>0</v>
      </c>
      <c r="BI16" s="133" t="n">
        <v>0</v>
      </c>
    </row>
    <row r="17">
      <c r="A17" s="38" t="inlineStr">
        <is>
          <t>External Tech Contractors</t>
        </is>
      </c>
      <c r="B17" s="133" t="n">
        <v>0</v>
      </c>
      <c r="C17" s="133" t="n">
        <v>0</v>
      </c>
      <c r="D17" s="133" t="n">
        <v>0</v>
      </c>
      <c r="E17" s="133" t="n">
        <v>0</v>
      </c>
      <c r="F17" s="133" t="n">
        <v>0</v>
      </c>
      <c r="G17" s="133" t="n">
        <v>0</v>
      </c>
      <c r="H17" s="133" t="n">
        <v>0</v>
      </c>
      <c r="I17" s="133" t="n">
        <v>0</v>
      </c>
      <c r="J17" s="133" t="n">
        <v>0</v>
      </c>
      <c r="K17" s="133" t="n">
        <v>0</v>
      </c>
      <c r="L17" s="133" t="n">
        <v>0</v>
      </c>
      <c r="M17" s="133" t="n">
        <v>0</v>
      </c>
      <c r="N17" s="133" t="n">
        <v>0</v>
      </c>
      <c r="O17" s="133" t="n">
        <v>0</v>
      </c>
      <c r="P17" s="133" t="n">
        <v>0</v>
      </c>
      <c r="Q17" s="133" t="n">
        <v>0</v>
      </c>
      <c r="R17" s="133" t="n">
        <v>0</v>
      </c>
      <c r="S17" s="133" t="n">
        <v>0</v>
      </c>
      <c r="T17" s="133" t="n">
        <v>0</v>
      </c>
      <c r="U17" s="133" t="n">
        <v>0</v>
      </c>
      <c r="V17" s="133" t="n">
        <v>0</v>
      </c>
      <c r="W17" s="133" t="n">
        <v>0</v>
      </c>
      <c r="X17" s="133" t="n">
        <v>0</v>
      </c>
      <c r="Y17" s="133" t="n">
        <v>0</v>
      </c>
      <c r="Z17" s="133" t="n">
        <v>0</v>
      </c>
      <c r="AA17" s="133" t="n">
        <v>0</v>
      </c>
      <c r="AB17" s="133" t="n">
        <v>0</v>
      </c>
      <c r="AC17" s="133" t="n">
        <v>0</v>
      </c>
      <c r="AD17" s="133" t="n">
        <v>0</v>
      </c>
      <c r="AE17" s="133" t="n">
        <v>0</v>
      </c>
      <c r="AF17" s="133" t="n">
        <v>0</v>
      </c>
      <c r="AG17" s="133" t="n">
        <v>0</v>
      </c>
      <c r="AH17" s="133" t="n">
        <v>0</v>
      </c>
      <c r="AI17" s="133" t="n">
        <v>0</v>
      </c>
      <c r="AJ17" s="133" t="n">
        <v>0</v>
      </c>
      <c r="AK17" s="133" t="n">
        <v>0</v>
      </c>
      <c r="AL17" s="133" t="n">
        <v>0</v>
      </c>
      <c r="AM17" s="133" t="n">
        <v>0</v>
      </c>
      <c r="AN17" s="133" t="n">
        <v>0</v>
      </c>
      <c r="AO17" s="133" t="n">
        <v>0</v>
      </c>
      <c r="AP17" s="133" t="n">
        <v>0</v>
      </c>
      <c r="AQ17" s="133" t="n">
        <v>0</v>
      </c>
      <c r="AR17" s="133" t="n">
        <v>0</v>
      </c>
      <c r="AS17" s="133" t="n">
        <v>0</v>
      </c>
      <c r="AT17" s="133" t="n">
        <v>0</v>
      </c>
      <c r="AU17" s="133" t="n">
        <v>0</v>
      </c>
      <c r="AV17" s="133" t="n">
        <v>0</v>
      </c>
      <c r="AW17" s="133" t="n">
        <v>0</v>
      </c>
      <c r="AX17" s="133" t="n">
        <v>0</v>
      </c>
      <c r="AY17" s="133" t="n">
        <v>0</v>
      </c>
      <c r="AZ17" s="133" t="n">
        <v>0</v>
      </c>
      <c r="BA17" s="133" t="n">
        <v>0</v>
      </c>
      <c r="BB17" s="133" t="n">
        <v>0</v>
      </c>
      <c r="BC17" s="133" t="n">
        <v>0</v>
      </c>
      <c r="BD17" s="133" t="n">
        <v>0</v>
      </c>
      <c r="BE17" s="133" t="n">
        <v>0</v>
      </c>
      <c r="BF17" s="133" t="n">
        <v>0</v>
      </c>
      <c r="BG17" s="133" t="n">
        <v>0</v>
      </c>
      <c r="BH17" s="133" t="n">
        <v>0</v>
      </c>
      <c r="BI17" s="133" t="n">
        <v>0</v>
      </c>
    </row>
    <row r="18">
      <c r="A18" s="38" t="inlineStr">
        <is>
          <t>External Design Support</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External Legal Cousel</t>
        </is>
      </c>
      <c r="B19" s="133" t="n">
        <v>0</v>
      </c>
      <c r="C19" s="133" t="n">
        <v>0</v>
      </c>
      <c r="D19" s="133" t="n">
        <v>0</v>
      </c>
      <c r="E19" s="133" t="n">
        <v>0</v>
      </c>
      <c r="F19" s="133" t="n">
        <v>0</v>
      </c>
      <c r="G19" s="133" t="n">
        <v>0</v>
      </c>
      <c r="H19" s="133" t="n">
        <v>0</v>
      </c>
      <c r="I19" s="133" t="n">
        <v>5000</v>
      </c>
      <c r="J19" s="133" t="n">
        <v>0</v>
      </c>
      <c r="K19" s="133" t="n">
        <v>0</v>
      </c>
      <c r="L19" s="133" t="n">
        <v>2900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Regulatory Filings &amp; Compliance</t>
        </is>
      </c>
      <c r="B20" s="133" t="n">
        <v>0</v>
      </c>
      <c r="C20" s="133" t="n">
        <v>0</v>
      </c>
      <c r="D20" s="133" t="n">
        <v>0</v>
      </c>
      <c r="E20" s="133" t="n">
        <v>0</v>
      </c>
      <c r="F20" s="133" t="n">
        <v>0</v>
      </c>
      <c r="G20" s="133" t="n">
        <v>0</v>
      </c>
      <c r="H20" s="133" t="n">
        <v>0</v>
      </c>
      <c r="I20" s="133" t="n">
        <v>0</v>
      </c>
      <c r="J20" s="133" t="n">
        <v>0</v>
      </c>
      <c r="K20" s="133" t="n">
        <v>0</v>
      </c>
      <c r="L20" s="133" t="n">
        <v>0</v>
      </c>
      <c r="M20" s="133" t="n">
        <v>10000</v>
      </c>
      <c r="N20" s="133" t="n">
        <v>10000</v>
      </c>
      <c r="O20" s="133" t="n">
        <v>10000</v>
      </c>
      <c r="P20" s="133" t="n">
        <v>0</v>
      </c>
      <c r="Q20" s="133" t="n">
        <v>0</v>
      </c>
      <c r="R20" s="133" t="n">
        <v>0</v>
      </c>
      <c r="S20" s="133" t="n">
        <v>0</v>
      </c>
      <c r="T20" s="133" t="n">
        <v>0</v>
      </c>
      <c r="U20" s="133" t="n">
        <v>0</v>
      </c>
      <c r="V20" s="133" t="n">
        <v>0</v>
      </c>
      <c r="W20" s="133" t="n">
        <v>0</v>
      </c>
      <c r="X20" s="133" t="n">
        <v>0</v>
      </c>
      <c r="Y20" s="133" t="n">
        <v>0</v>
      </c>
      <c r="Z20" s="133" t="n">
        <v>0</v>
      </c>
      <c r="AA20" s="133" t="n">
        <v>0</v>
      </c>
      <c r="AB20" s="133" t="n">
        <v>0</v>
      </c>
      <c r="AC20" s="133" t="n">
        <v>0</v>
      </c>
      <c r="AD20" s="133" t="n">
        <v>0</v>
      </c>
      <c r="AE20" s="133" t="n">
        <v>0</v>
      </c>
      <c r="AF20" s="133" t="n">
        <v>0</v>
      </c>
      <c r="AG20" s="133" t="n">
        <v>0</v>
      </c>
      <c r="AH20" s="133" t="n">
        <v>0</v>
      </c>
      <c r="AI20" s="133" t="n">
        <v>0</v>
      </c>
      <c r="AJ20" s="133" t="n">
        <v>0</v>
      </c>
      <c r="AK20" s="133" t="n">
        <v>0</v>
      </c>
      <c r="AL20" s="133" t="n">
        <v>0</v>
      </c>
      <c r="AM20" s="133" t="n">
        <v>0</v>
      </c>
      <c r="AN20" s="133" t="n">
        <v>0</v>
      </c>
      <c r="AO20" s="133" t="n">
        <v>0</v>
      </c>
      <c r="AP20" s="133" t="n">
        <v>0</v>
      </c>
      <c r="AQ20" s="133" t="n">
        <v>0</v>
      </c>
      <c r="AR20" s="133" t="n">
        <v>0</v>
      </c>
      <c r="AS20" s="133" t="n">
        <v>0</v>
      </c>
      <c r="AT20" s="133" t="n">
        <v>0</v>
      </c>
      <c r="AU20" s="133" t="n">
        <v>0</v>
      </c>
      <c r="AV20" s="133" t="n">
        <v>0</v>
      </c>
      <c r="AW20" s="133" t="n">
        <v>0</v>
      </c>
      <c r="AX20" s="133" t="n">
        <v>0</v>
      </c>
      <c r="AY20" s="133" t="n">
        <v>0</v>
      </c>
      <c r="AZ20" s="133" t="n">
        <v>0</v>
      </c>
      <c r="BA20" s="133" t="n">
        <v>0</v>
      </c>
      <c r="BB20" s="133" t="n">
        <v>0</v>
      </c>
      <c r="BC20" s="133" t="n">
        <v>0</v>
      </c>
      <c r="BD20" s="133" t="n">
        <v>0</v>
      </c>
      <c r="BE20" s="133" t="n">
        <v>0</v>
      </c>
      <c r="BF20" s="133" t="n">
        <v>0</v>
      </c>
      <c r="BG20" s="133" t="n">
        <v>0</v>
      </c>
      <c r="BH20" s="133" t="n">
        <v>0</v>
      </c>
      <c r="BI20" s="133" t="n">
        <v>0</v>
      </c>
    </row>
    <row r="21">
      <c r="A21" s="38" t="inlineStr">
        <is>
          <t>Tech Infrastructure, Hardware, Software</t>
        </is>
      </c>
      <c r="B21" s="133" t="n">
        <v>0</v>
      </c>
      <c r="C21" s="133" t="n">
        <v>100</v>
      </c>
      <c r="D21" s="133" t="n">
        <v>100</v>
      </c>
      <c r="E21" s="133" t="n">
        <v>180</v>
      </c>
      <c r="F21" s="133" t="n">
        <v>200</v>
      </c>
      <c r="G21" s="133" t="n">
        <v>200</v>
      </c>
      <c r="H21" s="133" t="n">
        <v>200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0</v>
      </c>
      <c r="AA21" s="133" t="n">
        <v>0</v>
      </c>
      <c r="AB21" s="133" t="n">
        <v>0</v>
      </c>
      <c r="AC21" s="133" t="n">
        <v>0</v>
      </c>
      <c r="AD21" s="133" t="n">
        <v>0</v>
      </c>
      <c r="AE21" s="133" t="n">
        <v>0</v>
      </c>
      <c r="AF21" s="133" t="n">
        <v>0</v>
      </c>
      <c r="AG21" s="133" t="n">
        <v>0</v>
      </c>
      <c r="AH21" s="133" t="n">
        <v>0</v>
      </c>
      <c r="AI21" s="133" t="n">
        <v>0</v>
      </c>
      <c r="AJ21" s="133" t="n">
        <v>0</v>
      </c>
      <c r="AK21" s="133" t="n">
        <v>0</v>
      </c>
      <c r="AL21" s="133" t="n">
        <v>0</v>
      </c>
      <c r="AM21" s="133" t="n">
        <v>0</v>
      </c>
      <c r="AN21" s="133" t="n">
        <v>0</v>
      </c>
      <c r="AO21" s="133" t="n">
        <v>0</v>
      </c>
      <c r="AP21" s="133" t="n">
        <v>0</v>
      </c>
      <c r="AQ21" s="133" t="n">
        <v>0</v>
      </c>
      <c r="AR21" s="133" t="n">
        <v>0</v>
      </c>
      <c r="AS21" s="133" t="n">
        <v>0</v>
      </c>
      <c r="AT21" s="133" t="n">
        <v>0</v>
      </c>
      <c r="AU21" s="133" t="n">
        <v>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FEA Affiliate Membership</t>
        </is>
      </c>
      <c r="B22" s="133" t="n">
        <v>0</v>
      </c>
      <c r="C22" s="133" t="n">
        <v>0</v>
      </c>
      <c r="D22" s="133" t="n">
        <v>0</v>
      </c>
      <c r="E22" s="133" t="n">
        <v>0</v>
      </c>
      <c r="F22" s="133" t="n">
        <v>0</v>
      </c>
      <c r="G22" s="133" t="n">
        <v>0</v>
      </c>
      <c r="H22" s="133" t="n">
        <v>0</v>
      </c>
      <c r="I22" s="133" t="n">
        <v>2795</v>
      </c>
      <c r="J22" s="133" t="n">
        <v>0</v>
      </c>
      <c r="K22" s="133" t="n">
        <v>0</v>
      </c>
      <c r="L22" s="133" t="n">
        <v>0</v>
      </c>
      <c r="M22" s="133" t="n">
        <v>0</v>
      </c>
      <c r="N22" s="133" t="n">
        <v>0</v>
      </c>
      <c r="O22" s="133" t="n">
        <v>0</v>
      </c>
      <c r="P22" s="133" t="n">
        <v>0</v>
      </c>
      <c r="Q22" s="133" t="n">
        <v>0</v>
      </c>
      <c r="R22" s="133" t="n">
        <v>0</v>
      </c>
      <c r="S22" s="133" t="n">
        <v>0</v>
      </c>
      <c r="T22" s="133" t="n">
        <v>0</v>
      </c>
      <c r="U22" s="133" t="n">
        <v>0</v>
      </c>
      <c r="V22" s="133" t="n">
        <v>0</v>
      </c>
      <c r="W22" s="133" t="n">
        <v>0</v>
      </c>
      <c r="X22" s="133" t="n">
        <v>0</v>
      </c>
      <c r="Y22" s="133" t="n">
        <v>0</v>
      </c>
      <c r="Z22" s="133" t="n">
        <v>0</v>
      </c>
      <c r="AA22" s="133" t="n">
        <v>0</v>
      </c>
      <c r="AB22" s="133" t="n">
        <v>0</v>
      </c>
      <c r="AC22" s="133" t="n">
        <v>0</v>
      </c>
      <c r="AD22" s="133" t="n">
        <v>0</v>
      </c>
      <c r="AE22" s="133" t="n">
        <v>0</v>
      </c>
      <c r="AF22" s="133" t="n">
        <v>0</v>
      </c>
      <c r="AG22" s="133" t="n">
        <v>0</v>
      </c>
      <c r="AH22" s="133" t="n">
        <v>0</v>
      </c>
      <c r="AI22" s="133" t="n">
        <v>0</v>
      </c>
      <c r="AJ22" s="133" t="n">
        <v>0</v>
      </c>
      <c r="AK22" s="133" t="n">
        <v>0</v>
      </c>
      <c r="AL22" s="133" t="n">
        <v>0</v>
      </c>
      <c r="AM22" s="133" t="n">
        <v>0</v>
      </c>
      <c r="AN22" s="133" t="n">
        <v>0</v>
      </c>
      <c r="AO22" s="133" t="n">
        <v>0</v>
      </c>
      <c r="AP22" s="133" t="n">
        <v>0</v>
      </c>
      <c r="AQ22" s="133" t="n">
        <v>0</v>
      </c>
      <c r="AR22" s="133" t="n">
        <v>0</v>
      </c>
      <c r="AS22" s="133" t="n">
        <v>0</v>
      </c>
      <c r="AT22" s="133" t="n">
        <v>0</v>
      </c>
      <c r="AU22" s="133" t="n">
        <v>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Accounting Counsel</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0</v>
      </c>
      <c r="AG23" s="133" t="n">
        <v>0</v>
      </c>
      <c r="AH23" s="133" t="n">
        <v>0</v>
      </c>
      <c r="AI23" s="133" t="n">
        <v>0</v>
      </c>
      <c r="AJ23" s="133" t="n">
        <v>0</v>
      </c>
      <c r="AK23" s="133" t="n">
        <v>0</v>
      </c>
      <c r="AL23" s="133" t="n">
        <v>0</v>
      </c>
      <c r="AM23" s="133" t="n">
        <v>0</v>
      </c>
      <c r="AN23" s="133" t="n">
        <v>0</v>
      </c>
      <c r="AO23" s="133" t="n">
        <v>0</v>
      </c>
      <c r="AP23" s="133" t="n">
        <v>0</v>
      </c>
      <c r="AQ23" s="133" t="n">
        <v>0</v>
      </c>
      <c r="AR23" s="133" t="n">
        <v>0</v>
      </c>
      <c r="AS23" s="133" t="n">
        <v>0</v>
      </c>
      <c r="AT23" s="133" t="n">
        <v>0</v>
      </c>
      <c r="AU23" s="133" t="n">
        <v>0</v>
      </c>
      <c r="AV23" s="133" t="n">
        <v>0</v>
      </c>
      <c r="AW23" s="133" t="n">
        <v>0</v>
      </c>
      <c r="AX23" s="133" t="n">
        <v>0</v>
      </c>
      <c r="AY23" s="133" t="n">
        <v>0</v>
      </c>
      <c r="AZ23" s="133" t="n">
        <v>0</v>
      </c>
      <c r="BA23" s="133" t="n">
        <v>0</v>
      </c>
      <c r="BB23" s="133" t="n">
        <v>0</v>
      </c>
      <c r="BC23" s="133" t="n">
        <v>0</v>
      </c>
      <c r="BD23" s="133" t="n">
        <v>0</v>
      </c>
      <c r="BE23" s="133" t="n">
        <v>0</v>
      </c>
      <c r="BF23" s="133" t="n">
        <v>0</v>
      </c>
      <c r="BG23" s="133" t="n">
        <v>0</v>
      </c>
      <c r="BH23" s="133" t="n">
        <v>0</v>
      </c>
      <c r="BI23" s="133" t="n">
        <v>0</v>
      </c>
    </row>
    <row r="24">
      <c r="A24" s="38" t="inlineStr">
        <is>
          <t>Insurance (general, D&amp;O)</t>
        </is>
      </c>
      <c r="B24" s="133" t="n">
        <v>0</v>
      </c>
      <c r="C24" s="133" t="n">
        <v>0</v>
      </c>
      <c r="D24" s="133" t="n">
        <v>0</v>
      </c>
      <c r="E24" s="133" t="n">
        <v>0</v>
      </c>
      <c r="F24" s="133" t="n">
        <v>0</v>
      </c>
      <c r="G24" s="133" t="n">
        <v>0</v>
      </c>
      <c r="H24" s="133" t="n">
        <v>0</v>
      </c>
      <c r="I24" s="133" t="n">
        <v>0</v>
      </c>
      <c r="J24" s="133" t="n">
        <v>200</v>
      </c>
      <c r="K24" s="133" t="n">
        <v>200</v>
      </c>
      <c r="L24" s="133" t="n">
        <v>200</v>
      </c>
      <c r="M24" s="133" t="n">
        <v>200</v>
      </c>
      <c r="N24" s="133" t="n">
        <v>200</v>
      </c>
      <c r="O24" s="133" t="n">
        <v>200</v>
      </c>
      <c r="P24" s="133" t="n">
        <v>200</v>
      </c>
      <c r="Q24" s="133" t="n">
        <v>200</v>
      </c>
      <c r="R24" s="133" t="n">
        <v>200</v>
      </c>
      <c r="S24" s="133" t="n">
        <v>200</v>
      </c>
      <c r="T24" s="133" t="n">
        <v>200</v>
      </c>
      <c r="U24" s="133" t="n">
        <v>200</v>
      </c>
      <c r="V24" s="133" t="n">
        <v>200</v>
      </c>
      <c r="W24" s="133" t="n">
        <v>200</v>
      </c>
      <c r="X24" s="133" t="n">
        <v>200</v>
      </c>
      <c r="Y24" s="133" t="n">
        <v>200</v>
      </c>
      <c r="Z24" s="133" t="n">
        <v>200</v>
      </c>
      <c r="AA24" s="133" t="n">
        <v>200</v>
      </c>
      <c r="AB24" s="133" t="n">
        <v>200</v>
      </c>
      <c r="AC24" s="133" t="n">
        <v>200</v>
      </c>
      <c r="AD24" s="133" t="n">
        <v>200</v>
      </c>
      <c r="AE24" s="133" t="n">
        <v>200</v>
      </c>
      <c r="AF24" s="133" t="n">
        <v>200</v>
      </c>
      <c r="AG24" s="133" t="n">
        <v>200</v>
      </c>
      <c r="AH24" s="133" t="n">
        <v>200</v>
      </c>
      <c r="AI24" s="133" t="n">
        <v>200</v>
      </c>
      <c r="AJ24" s="133" t="n">
        <v>200</v>
      </c>
      <c r="AK24" s="133" t="n">
        <v>200</v>
      </c>
      <c r="AL24" s="133" t="n">
        <v>200</v>
      </c>
      <c r="AM24" s="133" t="n">
        <v>200</v>
      </c>
      <c r="AN24" s="133" t="n">
        <v>200</v>
      </c>
      <c r="AO24" s="133" t="n">
        <v>200</v>
      </c>
      <c r="AP24" s="133" t="n">
        <v>200</v>
      </c>
      <c r="AQ24" s="133" t="n">
        <v>200</v>
      </c>
      <c r="AR24" s="133" t="n">
        <v>200</v>
      </c>
      <c r="AS24" s="133" t="n">
        <v>200</v>
      </c>
      <c r="AT24" s="133" t="n">
        <v>200</v>
      </c>
      <c r="AU24" s="133" t="n">
        <v>200</v>
      </c>
      <c r="AV24" s="133" t="n">
        <v>200</v>
      </c>
      <c r="AW24" s="133" t="n">
        <v>200</v>
      </c>
      <c r="AX24" s="133" t="n">
        <v>200</v>
      </c>
      <c r="AY24" s="133" t="n">
        <v>200</v>
      </c>
      <c r="AZ24" s="133" t="n">
        <v>200</v>
      </c>
      <c r="BA24" s="133" t="n">
        <v>200</v>
      </c>
      <c r="BB24" s="133" t="n">
        <v>200</v>
      </c>
      <c r="BC24" s="133" t="n">
        <v>200</v>
      </c>
      <c r="BD24" s="133" t="n">
        <v>200</v>
      </c>
      <c r="BE24" s="133" t="n">
        <v>200</v>
      </c>
      <c r="BF24" s="133" t="n">
        <v>200</v>
      </c>
      <c r="BG24" s="133" t="n">
        <v>200</v>
      </c>
      <c r="BH24" s="133" t="n">
        <v>200</v>
      </c>
      <c r="BI24" s="133" t="n">
        <v>200</v>
      </c>
    </row>
    <row r="25">
      <c r="A25" s="38" t="inlineStr">
        <is>
          <t>Contingency (10%)</t>
        </is>
      </c>
      <c r="B25" s="133" t="n">
        <v>0</v>
      </c>
      <c r="C25" s="133" t="n">
        <v>0</v>
      </c>
      <c r="D25" s="133" t="n">
        <v>0</v>
      </c>
      <c r="E25" s="133" t="n">
        <v>0</v>
      </c>
      <c r="F25" s="133" t="n">
        <v>0</v>
      </c>
      <c r="G25" s="133" t="n">
        <v>0</v>
      </c>
      <c r="H25" s="133">
        <f>sum(H14:H24)*0.1</f>
        <v/>
      </c>
      <c r="I25" s="133" t="n">
        <v>0</v>
      </c>
      <c r="J25" s="133" t="n">
        <v>0</v>
      </c>
      <c r="K25" s="133">
        <f>sum(K14:K24)*0.1</f>
        <v/>
      </c>
      <c r="L25" s="133">
        <f>sum(L14:L24)*0.1</f>
        <v/>
      </c>
      <c r="M25" s="133">
        <f>sum(M14:M24)*0.1</f>
        <v/>
      </c>
      <c r="N25" s="133">
        <f>sum(N14:N24)*0.1</f>
        <v/>
      </c>
      <c r="O25" s="133">
        <f>sum(O14:O24)*0.1</f>
        <v/>
      </c>
      <c r="P25" s="133">
        <f>sum(P14:P24)*0.1</f>
        <v/>
      </c>
      <c r="Q25" s="133">
        <f>sum(Q14:Q24)*0.1</f>
        <v/>
      </c>
      <c r="R25" s="133">
        <f>sum(R14:R24)*0.1</f>
        <v/>
      </c>
      <c r="S25" s="133">
        <f>sum(S14:S24)*0.1</f>
        <v/>
      </c>
      <c r="T25" s="133">
        <f>sum(T14:T24)*0.1</f>
        <v/>
      </c>
      <c r="U25" s="133">
        <f>sum(U14:U24)*0.1</f>
        <v/>
      </c>
      <c r="V25" s="133">
        <f>sum(V14:V24)*0.1</f>
        <v/>
      </c>
      <c r="W25" s="133">
        <f>sum(W14:W24)*0.1</f>
        <v/>
      </c>
      <c r="X25" s="133">
        <f>sum(X14:X24)*0.1</f>
        <v/>
      </c>
      <c r="Y25" s="133">
        <f>sum(Y14:Y24)*0.1</f>
        <v/>
      </c>
      <c r="Z25" s="133">
        <f>sum(Z14:Z24)*0.1</f>
        <v/>
      </c>
      <c r="AA25" s="133">
        <f>sum(AA14:AA24)*0.1</f>
        <v/>
      </c>
      <c r="AB25" s="133">
        <f>sum(AB14:AB24)*0.1</f>
        <v/>
      </c>
      <c r="AC25" s="133">
        <f>sum(AC14:AC24)*0.1</f>
        <v/>
      </c>
      <c r="AD25" s="133">
        <f>sum(AD14:AD24)*0.1</f>
        <v/>
      </c>
      <c r="AE25" s="133">
        <f>sum(AE14:AE24)*0.1</f>
        <v/>
      </c>
      <c r="AF25" s="133">
        <f>sum(AF14:AF24)*0.1</f>
        <v/>
      </c>
      <c r="AG25" s="133">
        <f>sum(AG14:AG24)*0.1</f>
        <v/>
      </c>
      <c r="AH25" s="133">
        <f>sum(AH14:AH24)*0.1</f>
        <v/>
      </c>
      <c r="AI25" s="133">
        <f>sum(AI14:AI24)*0.1</f>
        <v/>
      </c>
      <c r="AJ25" s="133">
        <f>sum(AJ14:AJ24)*0.1</f>
        <v/>
      </c>
      <c r="AK25" s="133">
        <f>sum(AK14:AK24)*0.1</f>
        <v/>
      </c>
      <c r="AL25" s="133">
        <f>sum(AL14:AL24)*0.1</f>
        <v/>
      </c>
      <c r="AM25" s="133">
        <f>sum(AM14:AM24)*0.1</f>
        <v/>
      </c>
      <c r="AN25" s="133">
        <f>sum(AN14:AN24)*0.1</f>
        <v/>
      </c>
      <c r="AO25" s="133">
        <f>sum(AO14:AO24)*0.1</f>
        <v/>
      </c>
      <c r="AP25" s="133">
        <f>sum(AP14:AP24)*0.1</f>
        <v/>
      </c>
      <c r="AQ25" s="133">
        <f>sum(AQ14:AQ24)*0.1</f>
        <v/>
      </c>
      <c r="AR25" s="133">
        <f>sum(AR14:AR24)*0.1</f>
        <v/>
      </c>
      <c r="AS25" s="133">
        <f>sum(AS14:AS24)*0.1</f>
        <v/>
      </c>
      <c r="AT25" s="133">
        <f>sum(AT14:AT24)*0.1</f>
        <v/>
      </c>
      <c r="AU25" s="133">
        <f>sum(AU14:AU24)*0.1</f>
        <v/>
      </c>
      <c r="AV25" s="133">
        <f>sum(AV14:AV24)*0.1</f>
        <v/>
      </c>
      <c r="AW25" s="133">
        <f>sum(AW14:AW24)*0.1</f>
        <v/>
      </c>
      <c r="AX25" s="133">
        <f>sum(AX14:AX24)*0.1</f>
        <v/>
      </c>
      <c r="AY25" s="133">
        <f>sum(AY14:AY24)*0.1</f>
        <v/>
      </c>
      <c r="AZ25" s="133">
        <f>sum(AZ14:AZ24)*0.1</f>
        <v/>
      </c>
      <c r="BA25" s="133">
        <f>sum(BA14:BA24)*0.1</f>
        <v/>
      </c>
      <c r="BB25" s="133">
        <f>sum(BB14:BB24)*0.1</f>
        <v/>
      </c>
      <c r="BC25" s="133">
        <f>sum(BC14:BC24)*0.1</f>
        <v/>
      </c>
      <c r="BD25" s="133">
        <f>sum(BD14:BD24)*0.1</f>
        <v/>
      </c>
      <c r="BE25" s="133">
        <f>sum(BE14:BE24)*0.1</f>
        <v/>
      </c>
      <c r="BF25" s="133">
        <f>sum(BF14:BF24)*0.1</f>
        <v/>
      </c>
      <c r="BG25" s="133">
        <f>sum(BG14:BG24)*0.1</f>
        <v/>
      </c>
      <c r="BH25" s="133">
        <f>sum(BH14:BH24)*0.1</f>
        <v/>
      </c>
      <c r="BI25" s="133">
        <f>sum(BI14:BI24)*0.1</f>
        <v/>
      </c>
    </row>
    <row r="26">
      <c r="A26" s="108" t="inlineStr">
        <is>
          <t>Total Expenditures</t>
        </is>
      </c>
      <c r="B26" s="139">
        <f>SUM(B13:B25)</f>
        <v/>
      </c>
      <c r="C26" s="139">
        <f>SUM(C13:C25)</f>
        <v/>
      </c>
      <c r="D26" s="139">
        <f>SUM(D13:D25)</f>
        <v/>
      </c>
      <c r="E26" s="139">
        <f>SUM(E13:E25)</f>
        <v/>
      </c>
      <c r="F26" s="139">
        <f>SUM(F13:F25)</f>
        <v/>
      </c>
      <c r="G26" s="139">
        <f>SUM(G13:G25)</f>
        <v/>
      </c>
      <c r="H26" s="139">
        <f>SUM(H13:H25)</f>
        <v/>
      </c>
      <c r="I26" s="261">
        <f>SUM(I14:I25)</f>
        <v/>
      </c>
      <c r="J26" s="261">
        <f>SUM(J14:J25)</f>
        <v/>
      </c>
      <c r="K26" s="261">
        <f>SUM(K14:K25)</f>
        <v/>
      </c>
      <c r="L26" s="261">
        <f>SUM(L14:L25)</f>
        <v/>
      </c>
      <c r="M26" s="261">
        <f>SUM(M14:M25)</f>
        <v/>
      </c>
      <c r="N26" s="261">
        <f>SUM(N14:N25)</f>
        <v/>
      </c>
      <c r="O26" s="261">
        <f>SUM(O14:O25)</f>
        <v/>
      </c>
      <c r="P26" s="261">
        <f>SUM(P14:P25)</f>
        <v/>
      </c>
      <c r="Q26" s="261">
        <f>SUM(Q14:Q25)</f>
        <v/>
      </c>
      <c r="R26" s="261">
        <f>SUM(R14:R25)</f>
        <v/>
      </c>
      <c r="S26" s="261">
        <f>SUM(S14:S25)</f>
        <v/>
      </c>
      <c r="T26" s="261">
        <f>SUM(T14:T25)</f>
        <v/>
      </c>
      <c r="U26" s="261">
        <f>SUM(U14:U25)</f>
        <v/>
      </c>
      <c r="V26" s="261">
        <f>SUM(V14:V25)</f>
        <v/>
      </c>
      <c r="W26" s="261">
        <f>SUM(W14:W25)</f>
        <v/>
      </c>
      <c r="X26" s="261">
        <f>SUM(X14:X25)</f>
        <v/>
      </c>
      <c r="Y26" s="261">
        <f>SUM(Y14:Y25)</f>
        <v/>
      </c>
      <c r="Z26" s="261">
        <f>SUM(Z14:Z25)</f>
        <v/>
      </c>
      <c r="AA26" s="261">
        <f>SUM(AA14:AA25)</f>
        <v/>
      </c>
      <c r="AB26" s="261">
        <f>SUM(AB14:AB25)</f>
        <v/>
      </c>
      <c r="AC26" s="261">
        <f>SUM(AC14:AC25)</f>
        <v/>
      </c>
      <c r="AD26" s="261">
        <f>SUM(AD14:AD25)</f>
        <v/>
      </c>
      <c r="AE26" s="261">
        <f>SUM(AE14:AE25)</f>
        <v/>
      </c>
      <c r="AF26" s="261">
        <f>SUM(AF14:AF25)</f>
        <v/>
      </c>
      <c r="AG26" s="261">
        <f>SUM(AG14:AG25)</f>
        <v/>
      </c>
      <c r="AH26" s="261">
        <f>SUM(AH14:AH25)</f>
        <v/>
      </c>
      <c r="AI26" s="261">
        <f>SUM(AI14:AI25)</f>
        <v/>
      </c>
      <c r="AJ26" s="261">
        <f>SUM(AJ14:AJ25)</f>
        <v/>
      </c>
      <c r="AK26" s="261">
        <f>SUM(AK14:AK25)</f>
        <v/>
      </c>
      <c r="AL26" s="261">
        <f>SUM(AL14:AL25)</f>
        <v/>
      </c>
      <c r="AM26" s="261">
        <f>SUM(AM14:AM25)</f>
        <v/>
      </c>
      <c r="AN26" s="261">
        <f>SUM(AN14:AN25)</f>
        <v/>
      </c>
      <c r="AO26" s="261">
        <f>SUM(AO14:AO25)</f>
        <v/>
      </c>
      <c r="AP26" s="261">
        <f>SUM(AP14:AP25)</f>
        <v/>
      </c>
      <c r="AQ26" s="261">
        <f>SUM(AQ14:AQ25)</f>
        <v/>
      </c>
      <c r="AR26" s="261">
        <f>SUM(AR14:AR25)</f>
        <v/>
      </c>
      <c r="AS26" s="261">
        <f>SUM(AS14:AS25)</f>
        <v/>
      </c>
      <c r="AT26" s="261">
        <f>SUM(AT14:AT25)</f>
        <v/>
      </c>
      <c r="AU26" s="261">
        <f>SUM(AU14:AU25)</f>
        <v/>
      </c>
      <c r="AV26" s="261">
        <f>SUM(AV14:AV25)</f>
        <v/>
      </c>
      <c r="AW26" s="261">
        <f>SUM(AW14:AW25)</f>
        <v/>
      </c>
      <c r="AX26" s="261">
        <f>SUM(AX14:AX25)</f>
        <v/>
      </c>
      <c r="AY26" s="261">
        <f>SUM(AY14:AY25)</f>
        <v/>
      </c>
      <c r="AZ26" s="261">
        <f>SUM(AZ14:AZ25)</f>
        <v/>
      </c>
      <c r="BA26" s="261">
        <f>SUM(BA14:BA25)</f>
        <v/>
      </c>
      <c r="BB26" s="261">
        <f>SUM(BB14:BB25)</f>
        <v/>
      </c>
      <c r="BC26" s="261">
        <f>SUM(BC14:BC25)</f>
        <v/>
      </c>
      <c r="BD26" s="261">
        <f>SUM(BD14:BD25)</f>
        <v/>
      </c>
      <c r="BE26" s="261">
        <f>SUM(BE14:BE25)</f>
        <v/>
      </c>
      <c r="BF26" s="261">
        <f>SUM(BF14:BF25)</f>
        <v/>
      </c>
      <c r="BG26" s="261">
        <f>SUM(BG14:BG25)</f>
        <v/>
      </c>
      <c r="BH26" s="261">
        <f>SUM(BH14:BH25)</f>
        <v/>
      </c>
      <c r="BI26" s="261">
        <f>SUM(BI14:BI25)</f>
        <v/>
      </c>
    </row>
    <row r="27">
      <c r="A27" s="128" t="n"/>
      <c r="B27" s="128" t="n"/>
      <c r="C27" s="128" t="n"/>
      <c r="D27" s="128" t="n"/>
      <c r="E27" s="128" t="n"/>
      <c r="F27" s="128" t="n"/>
      <c r="G27" s="128" t="n"/>
      <c r="H27" s="128" t="n"/>
      <c r="I27" s="128" t="n"/>
      <c r="J27" s="128" t="n"/>
      <c r="K27" s="128" t="n"/>
      <c r="L27" s="128" t="n"/>
      <c r="M27" s="128" t="n"/>
      <c r="N27" s="128" t="n"/>
      <c r="O27" s="128" t="n"/>
      <c r="P27" s="128" t="n"/>
      <c r="Q27" s="128" t="n"/>
      <c r="R27" s="128" t="n"/>
      <c r="S27" s="128" t="n"/>
      <c r="T27" s="128" t="n"/>
      <c r="U27" s="128" t="n"/>
      <c r="V27" s="128" t="n"/>
      <c r="W27" s="128" t="n"/>
      <c r="X27" s="128" t="n"/>
      <c r="Y27" s="128" t="n"/>
      <c r="Z27" s="206" t="n"/>
      <c r="AA27" s="206" t="n"/>
      <c r="AB27" s="206" t="n"/>
      <c r="AC27" s="206" t="n"/>
      <c r="AD27" s="206" t="n"/>
      <c r="AE27" s="206" t="n"/>
      <c r="AF27" s="206" t="n"/>
      <c r="AG27" s="206" t="n"/>
      <c r="AH27" s="206" t="n"/>
      <c r="AI27" s="206" t="n"/>
      <c r="AJ27" s="206" t="n"/>
      <c r="AK27" s="206" t="n"/>
      <c r="AL27" s="206" t="n"/>
      <c r="AM27" s="206" t="n"/>
      <c r="AN27" s="206" t="n"/>
      <c r="AO27" s="206" t="n"/>
      <c r="AP27" s="206" t="n"/>
      <c r="AQ27" s="206" t="n"/>
      <c r="AR27" s="206" t="n"/>
      <c r="AS27" s="206" t="n"/>
      <c r="AT27" s="206" t="n"/>
      <c r="AU27" s="206" t="n"/>
      <c r="AV27" s="206" t="n"/>
      <c r="AW27" s="206" t="n"/>
      <c r="AX27" s="206" t="n"/>
      <c r="AY27" s="206" t="n"/>
      <c r="AZ27" s="206" t="n"/>
      <c r="BA27" s="206" t="n"/>
      <c r="BB27" s="206" t="n"/>
      <c r="BC27" s="206" t="n"/>
      <c r="BD27" s="206" t="n"/>
      <c r="BE27" s="206" t="n"/>
      <c r="BF27" s="206" t="n"/>
      <c r="BG27" s="206" t="n"/>
      <c r="BH27" s="206" t="n"/>
      <c r="BI27" s="206" t="n"/>
    </row>
    <row r="28">
      <c r="A28" s="36" t="inlineStr">
        <is>
          <t>Capital Activities</t>
        </is>
      </c>
      <c r="B28" s="94" t="n"/>
      <c r="C28" s="94" t="n"/>
      <c r="D28" s="94" t="n"/>
      <c r="E28" s="94" t="n"/>
      <c r="F28" s="94" t="n"/>
      <c r="G28" s="94" t="n"/>
      <c r="H28" s="94" t="n"/>
      <c r="I28" s="94" t="n"/>
      <c r="J28" s="94" t="n"/>
      <c r="K28" s="94" t="n"/>
      <c r="L28" s="94" t="n"/>
      <c r="M28" s="94" t="n"/>
      <c r="N28" s="94" t="n"/>
      <c r="O28" s="94" t="n"/>
      <c r="P28" s="94" t="n"/>
      <c r="Q28" s="94" t="n"/>
      <c r="R28" s="94" t="n"/>
      <c r="S28" s="94" t="n"/>
      <c r="T28" s="94" t="n"/>
      <c r="U28" s="94" t="n"/>
      <c r="V28" s="94" t="n"/>
      <c r="W28" s="94" t="n"/>
      <c r="X28" s="94" t="n"/>
      <c r="Y28" s="94" t="n"/>
    </row>
    <row r="29">
      <c r="A29" s="38" t="inlineStr">
        <is>
          <t>Investment Tranches</t>
        </is>
      </c>
      <c r="B29" s="133">
        <f>Capital!C2</f>
        <v/>
      </c>
      <c r="C29" s="133" t="n">
        <v>0</v>
      </c>
      <c r="D29" s="133" t="n">
        <v>0</v>
      </c>
      <c r="E29" s="133" t="n">
        <v>0</v>
      </c>
      <c r="F29" s="133" t="n">
        <v>0</v>
      </c>
      <c r="G29" s="133" t="n">
        <v>0</v>
      </c>
      <c r="H29" s="133" t="n">
        <v>0</v>
      </c>
      <c r="I29" s="133">
        <f>sum(Capital!C3:C5)</f>
        <v/>
      </c>
      <c r="J29" s="133">
        <f>sum(Capital!C6:Capital!C8)</f>
        <v/>
      </c>
      <c r="K29" s="133">
        <f>Capital!C11</f>
        <v/>
      </c>
      <c r="L29" s="133">
        <f>Capital!C13</f>
        <v/>
      </c>
      <c r="M29" s="133" t="n">
        <v>100000</v>
      </c>
      <c r="N29" s="133">
        <f>Capital!C13</f>
        <v/>
      </c>
      <c r="O29" s="133" t="n">
        <v>0</v>
      </c>
      <c r="P29" s="133" t="n">
        <v>0</v>
      </c>
      <c r="Q29" s="133" t="n">
        <v>0</v>
      </c>
      <c r="R29" s="133" t="n">
        <v>0</v>
      </c>
      <c r="S29" s="133" t="n">
        <v>0</v>
      </c>
      <c r="T29" s="133" t="n">
        <v>0</v>
      </c>
      <c r="U29" s="133" t="n">
        <v>0</v>
      </c>
      <c r="V29" s="133" t="n">
        <v>0</v>
      </c>
      <c r="W29" s="133" t="n">
        <v>0</v>
      </c>
      <c r="X29" s="133" t="n">
        <v>0</v>
      </c>
      <c r="Y29" s="133" t="n">
        <v>0</v>
      </c>
      <c r="Z29" s="133" t="n">
        <v>0</v>
      </c>
      <c r="AA29" s="133" t="n">
        <v>0</v>
      </c>
      <c r="AB29" s="133" t="n">
        <v>0</v>
      </c>
      <c r="AC29" s="133" t="n">
        <v>0</v>
      </c>
      <c r="AD29" s="133" t="n">
        <v>0</v>
      </c>
      <c r="AE29" s="133" t="n">
        <v>0</v>
      </c>
      <c r="AF29" s="133" t="n">
        <v>0</v>
      </c>
      <c r="AG29" s="133" t="n">
        <v>0</v>
      </c>
      <c r="AH29" s="133" t="n">
        <v>0</v>
      </c>
      <c r="AI29" s="133" t="n">
        <v>0</v>
      </c>
      <c r="AJ29" s="133" t="n">
        <v>0</v>
      </c>
      <c r="AK29" s="133" t="n">
        <v>0</v>
      </c>
      <c r="AL29" s="133" t="n">
        <v>0</v>
      </c>
      <c r="AM29" s="133" t="n">
        <v>0</v>
      </c>
      <c r="AN29" s="133" t="n">
        <v>0</v>
      </c>
      <c r="AO29" s="133" t="n">
        <v>0</v>
      </c>
      <c r="AP29" s="133" t="n">
        <v>0</v>
      </c>
      <c r="AQ29" s="133" t="n">
        <v>0</v>
      </c>
      <c r="AR29" s="133" t="n">
        <v>0</v>
      </c>
      <c r="AS29" s="133" t="n">
        <v>0</v>
      </c>
      <c r="AT29" s="133" t="n">
        <v>0</v>
      </c>
      <c r="AU29" s="133" t="n">
        <v>0</v>
      </c>
      <c r="AV29" s="133" t="n">
        <v>0</v>
      </c>
      <c r="AW29" s="133" t="n">
        <v>0</v>
      </c>
      <c r="AX29" s="133" t="n">
        <v>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Capitalization to Real Assets Foundation</t>
        </is>
      </c>
      <c r="B30" s="133" t="n">
        <v>0</v>
      </c>
      <c r="C30" s="133" t="n">
        <v>0</v>
      </c>
      <c r="D30" s="133" t="n">
        <v>0</v>
      </c>
      <c r="E30" s="133" t="n">
        <v>0</v>
      </c>
      <c r="F30" s="133" t="n">
        <v>0</v>
      </c>
      <c r="G30" s="133" t="n">
        <v>0</v>
      </c>
      <c r="H30" s="133" t="n">
        <v>0</v>
      </c>
      <c r="I30" s="133" t="n">
        <v>0</v>
      </c>
      <c r="J30" s="133" t="n">
        <v>-30000</v>
      </c>
      <c r="K30" s="133" t="n">
        <v>-100000</v>
      </c>
      <c r="L30" s="133" t="n">
        <v>-100000</v>
      </c>
      <c r="M30" s="133" t="n">
        <v>0</v>
      </c>
      <c r="N30" s="133" t="n">
        <v>0</v>
      </c>
      <c r="O30" s="133" t="n">
        <v>0</v>
      </c>
      <c r="P30" s="133" t="n">
        <v>0</v>
      </c>
      <c r="Q30" s="133" t="n">
        <v>0</v>
      </c>
      <c r="R30" s="133" t="n">
        <v>0</v>
      </c>
      <c r="S30" s="133" t="n">
        <v>0</v>
      </c>
      <c r="T30" s="133" t="n">
        <v>0</v>
      </c>
      <c r="U30" s="133" t="n">
        <v>0</v>
      </c>
      <c r="V30" s="133" t="n">
        <v>0</v>
      </c>
      <c r="W30" s="133" t="n">
        <v>0</v>
      </c>
      <c r="X30" s="133" t="n">
        <v>0</v>
      </c>
      <c r="Y30" s="133" t="n">
        <v>0</v>
      </c>
      <c r="Z30" s="133" t="n">
        <v>0</v>
      </c>
      <c r="AA30" s="133" t="n">
        <v>0</v>
      </c>
      <c r="AB30" s="133" t="n">
        <v>0</v>
      </c>
      <c r="AC30" s="133" t="n">
        <v>0</v>
      </c>
      <c r="AD30" s="133" t="n">
        <v>0</v>
      </c>
      <c r="AE30" s="133" t="n">
        <v>0</v>
      </c>
      <c r="AF30" s="133" t="n">
        <v>0</v>
      </c>
      <c r="AG30" s="133" t="n">
        <v>0</v>
      </c>
      <c r="AH30" s="133" t="n">
        <v>0</v>
      </c>
      <c r="AI30" s="133" t="n">
        <v>0</v>
      </c>
      <c r="AJ30" s="133" t="n">
        <v>0</v>
      </c>
      <c r="AK30" s="133" t="n">
        <v>0</v>
      </c>
      <c r="AL30" s="133" t="n">
        <v>0</v>
      </c>
      <c r="AM30" s="133" t="n">
        <v>0</v>
      </c>
      <c r="AN30" s="133" t="n">
        <v>0</v>
      </c>
      <c r="AO30" s="133" t="n">
        <v>0</v>
      </c>
      <c r="AP30" s="133" t="n">
        <v>0</v>
      </c>
      <c r="AQ30" s="133" t="n">
        <v>0</v>
      </c>
      <c r="AR30" s="133" t="n">
        <v>0</v>
      </c>
      <c r="AS30" s="133" t="n">
        <v>0</v>
      </c>
      <c r="AT30" s="133" t="n">
        <v>0</v>
      </c>
      <c r="AU30" s="133" t="n">
        <v>0</v>
      </c>
      <c r="AV30" s="133" t="n">
        <v>0</v>
      </c>
      <c r="AW30" s="133" t="n">
        <v>0</v>
      </c>
      <c r="AX30" s="133" t="n">
        <v>0</v>
      </c>
      <c r="AY30" s="133" t="n">
        <v>0</v>
      </c>
      <c r="AZ30" s="133" t="n">
        <v>0</v>
      </c>
      <c r="BA30" s="133" t="n">
        <v>0</v>
      </c>
      <c r="BB30" s="133" t="n">
        <v>0</v>
      </c>
      <c r="BC30" s="133" t="n">
        <v>0</v>
      </c>
      <c r="BD30" s="133" t="n">
        <v>0</v>
      </c>
      <c r="BE30" s="133" t="n">
        <v>0</v>
      </c>
      <c r="BF30" s="133" t="n">
        <v>0</v>
      </c>
      <c r="BG30" s="133" t="n">
        <v>0</v>
      </c>
      <c r="BH30" s="133" t="n">
        <v>0</v>
      </c>
      <c r="BI30" s="133" t="n">
        <v>0</v>
      </c>
    </row>
    <row r="31">
      <c r="A31" s="38" t="inlineStr">
        <is>
          <t>Capitalization to RealGold Treasury</t>
        </is>
      </c>
      <c r="B31" s="133" t="n">
        <v>0</v>
      </c>
      <c r="C31" s="133" t="n">
        <v>0</v>
      </c>
      <c r="D31" s="133" t="n">
        <v>0</v>
      </c>
      <c r="E31" s="133" t="n">
        <v>0</v>
      </c>
      <c r="F31" s="133" t="n">
        <v>0</v>
      </c>
      <c r="G31" s="133" t="n">
        <v>0</v>
      </c>
      <c r="H31" s="133" t="n">
        <v>0</v>
      </c>
      <c r="I31" s="133" t="n">
        <v>0</v>
      </c>
      <c r="J31" s="133" t="n">
        <v>0</v>
      </c>
      <c r="K31" s="133" t="n">
        <v>0</v>
      </c>
      <c r="L31" s="133" t="n">
        <v>-400000</v>
      </c>
      <c r="M31" s="133" t="n">
        <v>-100000</v>
      </c>
      <c r="N31" s="133" t="n">
        <v>-500000</v>
      </c>
      <c r="O31" s="133" t="n">
        <v>0</v>
      </c>
      <c r="P31" s="133" t="n">
        <v>0</v>
      </c>
      <c r="Q31" s="133" t="n">
        <v>0</v>
      </c>
      <c r="R31" s="133" t="n">
        <v>0</v>
      </c>
      <c r="S31" s="133" t="n">
        <v>0</v>
      </c>
      <c r="T31" s="133" t="n">
        <v>0</v>
      </c>
      <c r="U31" s="133" t="n">
        <v>0</v>
      </c>
      <c r="V31" s="133" t="n">
        <v>0</v>
      </c>
      <c r="W31" s="133" t="n">
        <v>0</v>
      </c>
      <c r="X31" s="133" t="n">
        <v>0</v>
      </c>
      <c r="Y31" s="133" t="n">
        <v>0</v>
      </c>
      <c r="Z31" s="133" t="n">
        <v>0</v>
      </c>
      <c r="AA31" s="133" t="n">
        <v>0</v>
      </c>
      <c r="AB31" s="133" t="n">
        <v>0</v>
      </c>
      <c r="AC31" s="133" t="n">
        <v>0</v>
      </c>
      <c r="AD31" s="133" t="n">
        <v>0</v>
      </c>
      <c r="AE31" s="133" t="n">
        <v>0</v>
      </c>
      <c r="AF31" s="133" t="n">
        <v>0</v>
      </c>
      <c r="AG31" s="133" t="n">
        <v>0</v>
      </c>
      <c r="AH31" s="133" t="n">
        <v>0</v>
      </c>
      <c r="AI31" s="133" t="n">
        <v>0</v>
      </c>
      <c r="AJ31" s="133" t="n">
        <v>0</v>
      </c>
      <c r="AK31" s="133" t="n">
        <v>0</v>
      </c>
      <c r="AL31" s="133" t="n">
        <v>0</v>
      </c>
      <c r="AM31" s="133" t="n">
        <v>0</v>
      </c>
      <c r="AN31" s="133" t="n">
        <v>0</v>
      </c>
      <c r="AO31" s="133" t="n">
        <v>0</v>
      </c>
      <c r="AP31" s="133" t="n">
        <v>0</v>
      </c>
      <c r="AQ31" s="133" t="n">
        <v>0</v>
      </c>
      <c r="AR31" s="133" t="n">
        <v>0</v>
      </c>
      <c r="AS31" s="133" t="n">
        <v>0</v>
      </c>
      <c r="AT31" s="133" t="n">
        <v>0</v>
      </c>
      <c r="AU31" s="133" t="n">
        <v>0</v>
      </c>
      <c r="AV31" s="133" t="n">
        <v>0</v>
      </c>
      <c r="AW31" s="133" t="n">
        <v>0</v>
      </c>
      <c r="AX31" s="133" t="n">
        <v>0</v>
      </c>
      <c r="AY31" s="133" t="n">
        <v>0</v>
      </c>
      <c r="AZ31" s="133" t="n">
        <v>0</v>
      </c>
      <c r="BA31" s="133" t="n">
        <v>0</v>
      </c>
      <c r="BB31" s="133" t="n">
        <v>0</v>
      </c>
      <c r="BC31" s="133" t="n">
        <v>0</v>
      </c>
      <c r="BD31" s="133" t="n">
        <v>0</v>
      </c>
      <c r="BE31" s="133" t="n">
        <v>0</v>
      </c>
      <c r="BF31" s="133" t="n">
        <v>0</v>
      </c>
      <c r="BG31" s="133" t="n">
        <v>0</v>
      </c>
      <c r="BH31" s="133" t="n">
        <v>0</v>
      </c>
      <c r="BI31" s="133" t="n">
        <v>0</v>
      </c>
    </row>
    <row r="32">
      <c r="A32" s="108" t="inlineStr">
        <is>
          <t>Total Capital Activities</t>
        </is>
      </c>
      <c r="B32" s="261">
        <f>SUM(B29:B31)</f>
        <v/>
      </c>
      <c r="C32" s="261">
        <f>SUM(C30:C31)</f>
        <v/>
      </c>
      <c r="D32" s="261">
        <f>SUM(D30:D31)</f>
        <v/>
      </c>
      <c r="E32" s="261">
        <f>SUM(E29)</f>
        <v/>
      </c>
      <c r="F32" s="261">
        <f>SUM(F29:F31)</f>
        <v/>
      </c>
      <c r="G32" s="261">
        <f>SUM(G29:G31)</f>
        <v/>
      </c>
      <c r="H32" s="261">
        <f>SUM(H29:H31)</f>
        <v/>
      </c>
      <c r="I32" s="261">
        <f>SUM(I29:I31)</f>
        <v/>
      </c>
      <c r="J32" s="261">
        <f>SUM(J29:J31)</f>
        <v/>
      </c>
      <c r="K32" s="261">
        <f>SUM(K29:K31)</f>
        <v/>
      </c>
      <c r="L32" s="261">
        <f>SUM(L29:L31)</f>
        <v/>
      </c>
      <c r="M32" s="261">
        <f>SUM(M29:M31)</f>
        <v/>
      </c>
      <c r="N32" s="261">
        <f>SUM(N29:N31)</f>
        <v/>
      </c>
      <c r="O32" s="261">
        <f>SUM(O29:O31)</f>
        <v/>
      </c>
      <c r="P32" s="261">
        <f>SUM(P29:P31)</f>
        <v/>
      </c>
      <c r="Q32" s="261">
        <f>SUM(Q29:Q31)</f>
        <v/>
      </c>
      <c r="R32" s="261">
        <f>SUM(R29:R31)</f>
        <v/>
      </c>
      <c r="S32" s="261">
        <f>SUM(S29:S31)</f>
        <v/>
      </c>
      <c r="T32" s="261">
        <f>SUM(T29:T31)</f>
        <v/>
      </c>
      <c r="U32" s="261">
        <f>SUM(U29:U31)</f>
        <v/>
      </c>
      <c r="V32" s="261">
        <f>SUM(V29:V31)</f>
        <v/>
      </c>
      <c r="W32" s="261">
        <f>SUM(W29:W31)</f>
        <v/>
      </c>
      <c r="X32" s="261">
        <f>SUM(X29:X31)</f>
        <v/>
      </c>
      <c r="Y32" s="261">
        <f>SUM(Y29:Y31)</f>
        <v/>
      </c>
      <c r="Z32" s="261">
        <f>SUM(Z29:Z31)</f>
        <v/>
      </c>
      <c r="AA32" s="261">
        <f>SUM(AA29:AA31)</f>
        <v/>
      </c>
      <c r="AB32" s="261">
        <f>SUM(AB29:AB31)</f>
        <v/>
      </c>
      <c r="AC32" s="261">
        <f>SUM(AC29:AC31)</f>
        <v/>
      </c>
      <c r="AD32" s="261">
        <f>SUM(AD29:AD31)</f>
        <v/>
      </c>
      <c r="AE32" s="261">
        <f>SUM(AE29:AE31)</f>
        <v/>
      </c>
      <c r="AF32" s="261">
        <f>SUM(AF29:AF31)</f>
        <v/>
      </c>
      <c r="AG32" s="261">
        <f>SUM(AG29:AG31)</f>
        <v/>
      </c>
      <c r="AH32" s="261">
        <f>SUM(AH29:AH31)</f>
        <v/>
      </c>
      <c r="AI32" s="261">
        <f>SUM(AI29:AI31)</f>
        <v/>
      </c>
      <c r="AJ32" s="261">
        <f>SUM(AJ29:AJ31)</f>
        <v/>
      </c>
      <c r="AK32" s="261">
        <f>SUM(AK29:AK31)</f>
        <v/>
      </c>
      <c r="AL32" s="261">
        <f>SUM(AL29:AL31)</f>
        <v/>
      </c>
      <c r="AM32" s="261">
        <f>SUM(AM29:AM31)</f>
        <v/>
      </c>
      <c r="AN32" s="261">
        <f>SUM(AN29:AN31)</f>
        <v/>
      </c>
      <c r="AO32" s="261">
        <f>SUM(AO29:AO31)</f>
        <v/>
      </c>
      <c r="AP32" s="261">
        <f>SUM(AP29:AP31)</f>
        <v/>
      </c>
      <c r="AQ32" s="261">
        <f>SUM(AQ29:AQ31)</f>
        <v/>
      </c>
      <c r="AR32" s="261">
        <f>SUM(AR29:AR31)</f>
        <v/>
      </c>
      <c r="AS32" s="261">
        <f>SUM(AS29:AS31)</f>
        <v/>
      </c>
      <c r="AT32" s="261">
        <f>SUM(AT29:AT31)</f>
        <v/>
      </c>
      <c r="AU32" s="261">
        <f>SUM(AU29:AU31)</f>
        <v/>
      </c>
      <c r="AV32" s="261">
        <f>SUM(AV29:AV31)</f>
        <v/>
      </c>
      <c r="AW32" s="261">
        <f>SUM(AW29:AW31)</f>
        <v/>
      </c>
      <c r="AX32" s="261">
        <f>SUM(AX29:AX31)</f>
        <v/>
      </c>
      <c r="AY32" s="261">
        <f>SUM(AY29:AY31)</f>
        <v/>
      </c>
      <c r="AZ32" s="261">
        <f>SUM(AZ29:AZ31)</f>
        <v/>
      </c>
      <c r="BA32" s="261">
        <f>SUM(BA29:BA31)</f>
        <v/>
      </c>
      <c r="BB32" s="261">
        <f>SUM(BB29:BB31)</f>
        <v/>
      </c>
      <c r="BC32" s="261">
        <f>SUM(BC29:BC31)</f>
        <v/>
      </c>
      <c r="BD32" s="261">
        <f>SUM(BD29:BD31)</f>
        <v/>
      </c>
      <c r="BE32" s="261">
        <f>SUM(BE29:BE31)</f>
        <v/>
      </c>
      <c r="BF32" s="261">
        <f>SUM(BF29:BF31)</f>
        <v/>
      </c>
      <c r="BG32" s="261">
        <f>SUM(BG29:BG31)</f>
        <v/>
      </c>
      <c r="BH32" s="261">
        <f>SUM(BH29:BH31)</f>
        <v/>
      </c>
      <c r="BI32" s="261">
        <f>SUM(BI29:BI31)</f>
        <v/>
      </c>
    </row>
    <row r="33">
      <c r="A33" s="128" t="n"/>
      <c r="B33" s="128" t="n"/>
      <c r="C33" s="128" t="n"/>
      <c r="D33" s="128" t="n"/>
      <c r="E33" s="128" t="n"/>
      <c r="F33" s="128" t="n"/>
      <c r="G33" s="128" t="n"/>
      <c r="H33" s="128" t="n"/>
      <c r="I33" s="128" t="n"/>
      <c r="J33" s="128" t="n"/>
      <c r="K33" s="128" t="n"/>
      <c r="L33" s="128" t="n"/>
      <c r="M33" s="128" t="n"/>
      <c r="N33" s="128" t="n"/>
      <c r="O33" s="128" t="n"/>
      <c r="P33" s="128" t="n"/>
      <c r="Q33" s="128" t="n"/>
      <c r="R33" s="128" t="n"/>
      <c r="S33" s="128" t="n"/>
      <c r="T33" s="128" t="n"/>
      <c r="U33" s="128" t="n"/>
      <c r="V33" s="128" t="n"/>
      <c r="W33" s="128" t="n"/>
      <c r="X33" s="128" t="n"/>
      <c r="Y33" s="128" t="n"/>
      <c r="Z33" s="206" t="n"/>
      <c r="AA33" s="206" t="n"/>
      <c r="AB33" s="206" t="n"/>
      <c r="AC33" s="206" t="n"/>
      <c r="AD33" s="206" t="n"/>
      <c r="AE33" s="206" t="n"/>
      <c r="AF33" s="206" t="n"/>
      <c r="AG33" s="206" t="n"/>
      <c r="AH33" s="206" t="n"/>
      <c r="AI33" s="206" t="n"/>
      <c r="AJ33" s="206" t="n"/>
      <c r="AK33" s="206" t="n"/>
      <c r="AL33" s="206" t="n"/>
      <c r="AM33" s="206" t="n"/>
      <c r="AN33" s="206" t="n"/>
      <c r="AO33" s="206" t="n"/>
      <c r="AP33" s="206" t="n"/>
      <c r="AQ33" s="206" t="n"/>
      <c r="AR33" s="206" t="n"/>
      <c r="AS33" s="206" t="n"/>
      <c r="AT33" s="206" t="n"/>
      <c r="AU33" s="206" t="n"/>
      <c r="AV33" s="206" t="n"/>
      <c r="AW33" s="206" t="n"/>
      <c r="AX33" s="206" t="n"/>
      <c r="AY33" s="206" t="n"/>
      <c r="AZ33" s="206" t="n"/>
      <c r="BA33" s="206" t="n"/>
      <c r="BB33" s="206" t="n"/>
      <c r="BC33" s="206" t="n"/>
      <c r="BD33" s="206" t="n"/>
      <c r="BE33" s="206" t="n"/>
      <c r="BF33" s="206" t="n"/>
      <c r="BG33" s="206" t="n"/>
      <c r="BH33" s="206" t="n"/>
      <c r="BI33" s="206" t="n"/>
    </row>
    <row r="34">
      <c r="A34" s="36" t="inlineStr">
        <is>
          <t>Operating Expenses</t>
        </is>
      </c>
      <c r="B34" s="94" t="n"/>
      <c r="C34" s="94" t="n"/>
      <c r="D34" s="94" t="n"/>
      <c r="E34" s="94" t="n"/>
      <c r="F34" s="94" t="n"/>
      <c r="G34" s="94" t="n"/>
      <c r="H34" s="94" t="n"/>
      <c r="I34" s="94" t="n"/>
      <c r="J34" s="94" t="n"/>
      <c r="K34" s="94" t="n"/>
      <c r="L34" s="94" t="n"/>
      <c r="M34" s="94" t="n"/>
      <c r="N34" s="94" t="n"/>
      <c r="O34" s="94" t="n"/>
      <c r="P34" s="94" t="n"/>
      <c r="Q34" s="94" t="n"/>
      <c r="R34" s="94" t="n"/>
      <c r="S34" s="94" t="n"/>
      <c r="T34" s="94" t="n"/>
      <c r="U34" s="94" t="n"/>
      <c r="V34" s="94" t="n"/>
      <c r="W34" s="94" t="n"/>
      <c r="X34" s="94" t="n"/>
      <c r="Y34" s="94" t="n"/>
    </row>
    <row r="35">
      <c r="A35" s="38" t="inlineStr">
        <is>
          <t>Personnel Stipends</t>
        </is>
      </c>
      <c r="B35" s="133">
        <f>B10</f>
        <v/>
      </c>
      <c r="C35" s="133">
        <f>C10</f>
        <v/>
      </c>
      <c r="D35" s="133">
        <f>D10</f>
        <v/>
      </c>
      <c r="E35" s="133">
        <f>'RA LLC Cashflow'!E10</f>
        <v/>
      </c>
      <c r="F35" s="133">
        <f>'RA LLC Cashflow'!F10</f>
        <v/>
      </c>
      <c r="G35" s="133">
        <f>'RA LLC Cashflow'!G10</f>
        <v/>
      </c>
      <c r="H35" s="133">
        <f>'RA LLC Cashflow'!H10</f>
        <v/>
      </c>
      <c r="I35" s="133">
        <f>'RA LLC Cashflow'!I10</f>
        <v/>
      </c>
      <c r="J35" s="133">
        <f>'RA LLC Cashflow'!J10</f>
        <v/>
      </c>
      <c r="K35" s="133">
        <f>'RA LLC Cashflow'!K10</f>
        <v/>
      </c>
      <c r="L35" s="133">
        <f>'RA LLC Cashflow'!L10</f>
        <v/>
      </c>
      <c r="M35" s="133">
        <f>'RA LLC Cashflow'!M10</f>
        <v/>
      </c>
      <c r="N35" s="133">
        <f>'RA LLC Cashflow'!N10</f>
        <v/>
      </c>
      <c r="O35" s="133">
        <f>'RA LLC Cashflow'!O10</f>
        <v/>
      </c>
      <c r="P35" s="133">
        <f>'RA LLC Cashflow'!P10</f>
        <v/>
      </c>
      <c r="Q35" s="133">
        <f>'RA LLC Cashflow'!Q10</f>
        <v/>
      </c>
      <c r="R35" s="133">
        <f>'RA LLC Cashflow'!R10</f>
        <v/>
      </c>
      <c r="S35" s="133">
        <f>'RA LLC Cashflow'!S10</f>
        <v/>
      </c>
      <c r="T35" s="133">
        <f>'RA LLC Cashflow'!T10</f>
        <v/>
      </c>
      <c r="U35" s="133">
        <f>'RA LLC Cashflow'!U10</f>
        <v/>
      </c>
      <c r="V35" s="133">
        <f>'RA LLC Cashflow'!V10</f>
        <v/>
      </c>
      <c r="W35" s="133">
        <f>'RA LLC Cashflow'!W10</f>
        <v/>
      </c>
      <c r="X35" s="133">
        <f>'RA LLC Cashflow'!X10</f>
        <v/>
      </c>
      <c r="Y35" s="133">
        <f>'RA LLC Cashflow'!Y10</f>
        <v/>
      </c>
      <c r="Z35" s="133">
        <f>'RA LLC Cashflow'!Z10</f>
        <v/>
      </c>
      <c r="AA35" s="133">
        <f>'RA LLC Cashflow'!AA10</f>
        <v/>
      </c>
      <c r="AB35" s="133">
        <f>'RA LLC Cashflow'!AB10</f>
        <v/>
      </c>
      <c r="AC35" s="133">
        <f>'RA LLC Cashflow'!AC10</f>
        <v/>
      </c>
      <c r="AD35" s="133">
        <f>'RA LLC Cashflow'!AD10</f>
        <v/>
      </c>
      <c r="AE35" s="133">
        <f>'RA LLC Cashflow'!AE10</f>
        <v/>
      </c>
      <c r="AF35" s="133">
        <f>'RA LLC Cashflow'!AF10</f>
        <v/>
      </c>
      <c r="AG35" s="133">
        <f>'RA LLC Cashflow'!AG10</f>
        <v/>
      </c>
      <c r="AH35" s="133">
        <f>'RA LLC Cashflow'!AH10</f>
        <v/>
      </c>
      <c r="AI35" s="133">
        <f>'RA LLC Cashflow'!AI10</f>
        <v/>
      </c>
      <c r="AJ35" s="133">
        <f>'RA LLC Cashflow'!AJ10</f>
        <v/>
      </c>
      <c r="AK35" s="133">
        <f>'RA LLC Cashflow'!AK10</f>
        <v/>
      </c>
      <c r="AL35" s="133">
        <f>'RA LLC Cashflow'!AL10</f>
        <v/>
      </c>
      <c r="AM35" s="133">
        <f>'RA LLC Cashflow'!AM10</f>
        <v/>
      </c>
      <c r="AN35" s="133">
        <f>'RA LLC Cashflow'!AN10</f>
        <v/>
      </c>
      <c r="AO35" s="133">
        <f>'RA LLC Cashflow'!AO10</f>
        <v/>
      </c>
      <c r="AP35" s="133">
        <f>'RA LLC Cashflow'!AP10</f>
        <v/>
      </c>
      <c r="AQ35" s="133">
        <f>'RA LLC Cashflow'!AQ10</f>
        <v/>
      </c>
      <c r="AR35" s="133">
        <f>'RA LLC Cashflow'!AR10</f>
        <v/>
      </c>
      <c r="AS35" s="133">
        <f>'RA LLC Cashflow'!AS10</f>
        <v/>
      </c>
      <c r="AT35" s="133">
        <f>'RA LLC Cashflow'!AT10</f>
        <v/>
      </c>
      <c r="AU35" s="133">
        <f>'RA LLC Cashflow'!AU10</f>
        <v/>
      </c>
      <c r="AV35" s="133">
        <f>'RA LLC Cashflow'!AV10</f>
        <v/>
      </c>
      <c r="AW35" s="133">
        <f>'RA LLC Cashflow'!AW10</f>
        <v/>
      </c>
      <c r="AX35" s="133">
        <f>'RA LLC Cashflow'!AX10</f>
        <v/>
      </c>
      <c r="AY35" s="133">
        <f>'RA LLC Cashflow'!AY10</f>
        <v/>
      </c>
      <c r="AZ35" s="133">
        <f>'RA LLC Cashflow'!AZ10</f>
        <v/>
      </c>
      <c r="BA35" s="133">
        <f>'RA LLC Cashflow'!BA10</f>
        <v/>
      </c>
      <c r="BB35" s="133">
        <f>'RA LLC Cashflow'!BB10</f>
        <v/>
      </c>
      <c r="BC35" s="133">
        <f>'RA LLC Cashflow'!BC10</f>
        <v/>
      </c>
      <c r="BD35" s="133">
        <f>'RA LLC Cashflow'!BD10</f>
        <v/>
      </c>
      <c r="BE35" s="133">
        <f>'RA LLC Cashflow'!BE10</f>
        <v/>
      </c>
      <c r="BF35" s="133">
        <f>'RA LLC Cashflow'!BF10</f>
        <v/>
      </c>
      <c r="BG35" s="133">
        <f>'RA LLC Cashflow'!BG10</f>
        <v/>
      </c>
      <c r="BH35" s="133">
        <f>'RA LLC Cashflow'!BH10</f>
        <v/>
      </c>
      <c r="BI35" s="133">
        <f>'RA LLC Cashflow'!BI10</f>
        <v/>
      </c>
    </row>
    <row r="36">
      <c r="A36" s="38" t="inlineStr">
        <is>
          <t>Expenditures</t>
        </is>
      </c>
      <c r="B36" s="133">
        <f>B26</f>
        <v/>
      </c>
      <c r="C36" s="133">
        <f>C26</f>
        <v/>
      </c>
      <c r="D36" s="133">
        <f>D26</f>
        <v/>
      </c>
      <c r="E36" s="133">
        <f>E26</f>
        <v/>
      </c>
      <c r="F36" s="133">
        <f>F26</f>
        <v/>
      </c>
      <c r="G36" s="133">
        <f>G26</f>
        <v/>
      </c>
      <c r="H36" s="133">
        <f>H26</f>
        <v/>
      </c>
      <c r="I36" s="133">
        <f>I26</f>
        <v/>
      </c>
      <c r="J36" s="133">
        <f>J26</f>
        <v/>
      </c>
      <c r="K36" s="133">
        <f>K26</f>
        <v/>
      </c>
      <c r="L36" s="133">
        <f>L26</f>
        <v/>
      </c>
      <c r="M36" s="133">
        <f>M26</f>
        <v/>
      </c>
      <c r="N36" s="133">
        <f>N26</f>
        <v/>
      </c>
      <c r="O36" s="133">
        <f>O26</f>
        <v/>
      </c>
      <c r="P36" s="133">
        <f>P26</f>
        <v/>
      </c>
      <c r="Q36" s="133">
        <f>Q26</f>
        <v/>
      </c>
      <c r="R36" s="133">
        <f>R26</f>
        <v/>
      </c>
      <c r="S36" s="133">
        <f>S26</f>
        <v/>
      </c>
      <c r="T36" s="133">
        <f>T26</f>
        <v/>
      </c>
      <c r="U36" s="133">
        <f>U26</f>
        <v/>
      </c>
      <c r="V36" s="133">
        <f>V26</f>
        <v/>
      </c>
      <c r="W36" s="133">
        <f>W26</f>
        <v/>
      </c>
      <c r="X36" s="133">
        <f>X26</f>
        <v/>
      </c>
      <c r="Y36" s="133">
        <f>Y26</f>
        <v/>
      </c>
      <c r="Z36" s="133">
        <f>Z26</f>
        <v/>
      </c>
      <c r="AA36" s="133">
        <f>AA26</f>
        <v/>
      </c>
      <c r="AB36" s="133">
        <f>AB26</f>
        <v/>
      </c>
      <c r="AC36" s="133">
        <f>AC26</f>
        <v/>
      </c>
      <c r="AD36" s="133">
        <f>AD26</f>
        <v/>
      </c>
      <c r="AE36" s="133">
        <f>AE26</f>
        <v/>
      </c>
      <c r="AF36" s="133">
        <f>AF26</f>
        <v/>
      </c>
      <c r="AG36" s="133">
        <f>AG26</f>
        <v/>
      </c>
      <c r="AH36" s="133">
        <f>AH26</f>
        <v/>
      </c>
      <c r="AI36" s="133">
        <f>AI26</f>
        <v/>
      </c>
      <c r="AJ36" s="133">
        <f>AJ26</f>
        <v/>
      </c>
      <c r="AK36" s="133">
        <f>AK26</f>
        <v/>
      </c>
      <c r="AL36" s="133">
        <f>AL26</f>
        <v/>
      </c>
      <c r="AM36" s="133">
        <f>AM26</f>
        <v/>
      </c>
      <c r="AN36" s="133">
        <f>AN26</f>
        <v/>
      </c>
      <c r="AO36" s="133">
        <f>AO26</f>
        <v/>
      </c>
      <c r="AP36" s="133">
        <f>AP26</f>
        <v/>
      </c>
      <c r="AQ36" s="133">
        <f>AQ26</f>
        <v/>
      </c>
      <c r="AR36" s="133">
        <f>AR26</f>
        <v/>
      </c>
      <c r="AS36" s="133">
        <f>AS26</f>
        <v/>
      </c>
      <c r="AT36" s="133">
        <f>AT26</f>
        <v/>
      </c>
      <c r="AU36" s="133">
        <f>AU26</f>
        <v/>
      </c>
      <c r="AV36" s="133">
        <f>AV26</f>
        <v/>
      </c>
      <c r="AW36" s="133">
        <f>AW26</f>
        <v/>
      </c>
      <c r="AX36" s="133">
        <f>AX26</f>
        <v/>
      </c>
      <c r="AY36" s="133">
        <f>AY26</f>
        <v/>
      </c>
      <c r="AZ36" s="133">
        <f>AZ26</f>
        <v/>
      </c>
      <c r="BA36" s="133">
        <f>BA26</f>
        <v/>
      </c>
      <c r="BB36" s="133">
        <f>BB26</f>
        <v/>
      </c>
      <c r="BC36" s="133">
        <f>BC26</f>
        <v/>
      </c>
      <c r="BD36" s="133">
        <f>BD26</f>
        <v/>
      </c>
      <c r="BE36" s="133">
        <f>BE26</f>
        <v/>
      </c>
      <c r="BF36" s="133">
        <f>BF26</f>
        <v/>
      </c>
      <c r="BG36" s="133">
        <f>BG26</f>
        <v/>
      </c>
      <c r="BH36" s="133">
        <f>BH26</f>
        <v/>
      </c>
      <c r="BI36" s="133">
        <f>BI26</f>
        <v/>
      </c>
    </row>
    <row r="37">
      <c r="A37" s="108" t="inlineStr">
        <is>
          <t>Total Operating Expenses</t>
        </is>
      </c>
      <c r="B37" s="261">
        <f>sum(B35:B36)</f>
        <v/>
      </c>
      <c r="C37" s="261">
        <f>sum(C35:C36)</f>
        <v/>
      </c>
      <c r="D37" s="261">
        <f>sum(D35:D36)</f>
        <v/>
      </c>
      <c r="E37" s="261">
        <f>sum(E35:E36)</f>
        <v/>
      </c>
      <c r="F37" s="261">
        <f>sum(F35:F36)</f>
        <v/>
      </c>
      <c r="G37" s="261">
        <f>sum(G35:G36)</f>
        <v/>
      </c>
      <c r="H37" s="261">
        <f>sum(H35:H36)</f>
        <v/>
      </c>
      <c r="I37" s="261">
        <f>sum(I35:I36)</f>
        <v/>
      </c>
      <c r="J37" s="261">
        <f>sum(J35:J36)</f>
        <v/>
      </c>
      <c r="K37" s="261">
        <f>sum(K35:K36)</f>
        <v/>
      </c>
      <c r="L37" s="261">
        <f>sum(L35:L36)</f>
        <v/>
      </c>
      <c r="M37" s="261">
        <f>sum(M35:M36)</f>
        <v/>
      </c>
      <c r="N37" s="261">
        <f>sum(N35:N36)</f>
        <v/>
      </c>
      <c r="O37" s="261">
        <f>sum(O35:O36)</f>
        <v/>
      </c>
      <c r="P37" s="261">
        <f>sum(P35:P36)</f>
        <v/>
      </c>
      <c r="Q37" s="261">
        <f>sum(Q35:Q36)</f>
        <v/>
      </c>
      <c r="R37" s="261">
        <f>sum(R35:R36)</f>
        <v/>
      </c>
      <c r="S37" s="261">
        <f>sum(S35:S36)</f>
        <v/>
      </c>
      <c r="T37" s="261">
        <f>sum(T35:T36)</f>
        <v/>
      </c>
      <c r="U37" s="261">
        <f>sum(U35:U36)</f>
        <v/>
      </c>
      <c r="V37" s="261">
        <f>sum(V35:V36)</f>
        <v/>
      </c>
      <c r="W37" s="261">
        <f>sum(W35:W36)</f>
        <v/>
      </c>
      <c r="X37" s="261">
        <f>sum(X35:X36)</f>
        <v/>
      </c>
      <c r="Y37" s="261">
        <f>sum(Y35:Y36)</f>
        <v/>
      </c>
      <c r="Z37" s="261">
        <f>sum(Z35:Z36)</f>
        <v/>
      </c>
      <c r="AA37" s="261">
        <f>sum(AA35:AA36)</f>
        <v/>
      </c>
      <c r="AB37" s="261">
        <f>sum(AB35:AB36)</f>
        <v/>
      </c>
      <c r="AC37" s="261">
        <f>sum(AC35:AC36)</f>
        <v/>
      </c>
      <c r="AD37" s="261">
        <f>sum(AD35:AD36)</f>
        <v/>
      </c>
      <c r="AE37" s="261">
        <f>sum(AE35:AE36)</f>
        <v/>
      </c>
      <c r="AF37" s="261">
        <f>sum(AF35:AF36)</f>
        <v/>
      </c>
      <c r="AG37" s="261">
        <f>sum(AG35:AG36)</f>
        <v/>
      </c>
      <c r="AH37" s="261">
        <f>sum(AH35:AH36)</f>
        <v/>
      </c>
      <c r="AI37" s="261">
        <f>sum(AI35:AI36)</f>
        <v/>
      </c>
      <c r="AJ37" s="261">
        <f>sum(AJ35:AJ36)</f>
        <v/>
      </c>
      <c r="AK37" s="261">
        <f>sum(AK35:AK36)</f>
        <v/>
      </c>
      <c r="AL37" s="261">
        <f>sum(AL35:AL36)</f>
        <v/>
      </c>
      <c r="AM37" s="261">
        <f>sum(AM35:AM36)</f>
        <v/>
      </c>
      <c r="AN37" s="261">
        <f>sum(AN35:AN36)</f>
        <v/>
      </c>
      <c r="AO37" s="261">
        <f>sum(AO35:AO36)</f>
        <v/>
      </c>
      <c r="AP37" s="261">
        <f>sum(AP35:AP36)</f>
        <v/>
      </c>
      <c r="AQ37" s="261">
        <f>sum(AQ35:AQ36)</f>
        <v/>
      </c>
      <c r="AR37" s="261">
        <f>sum(AR35:AR36)</f>
        <v/>
      </c>
      <c r="AS37" s="261">
        <f>sum(AS35:AS36)</f>
        <v/>
      </c>
      <c r="AT37" s="261">
        <f>sum(AT35:AT36)</f>
        <v/>
      </c>
      <c r="AU37" s="261">
        <f>sum(AU35:AU36)</f>
        <v/>
      </c>
      <c r="AV37" s="261">
        <f>sum(AV35:AV36)</f>
        <v/>
      </c>
      <c r="AW37" s="261">
        <f>sum(AW35:AW36)</f>
        <v/>
      </c>
      <c r="AX37" s="261">
        <f>sum(AX35:AX36)</f>
        <v/>
      </c>
      <c r="AY37" s="261">
        <f>sum(AY35:AY36)</f>
        <v/>
      </c>
      <c r="AZ37" s="261">
        <f>sum(AZ35:AZ36)</f>
        <v/>
      </c>
      <c r="BA37" s="261">
        <f>sum(BA35:BA36)</f>
        <v/>
      </c>
      <c r="BB37" s="261">
        <f>sum(BB35:BB36)</f>
        <v/>
      </c>
      <c r="BC37" s="261">
        <f>sum(BC35:BC36)</f>
        <v/>
      </c>
      <c r="BD37" s="261">
        <f>sum(BD35:BD36)</f>
        <v/>
      </c>
      <c r="BE37" s="261">
        <f>sum(BE35:BE36)</f>
        <v/>
      </c>
      <c r="BF37" s="261">
        <f>sum(BF35:BF36)</f>
        <v/>
      </c>
      <c r="BG37" s="261">
        <f>sum(BG35:BG36)</f>
        <v/>
      </c>
      <c r="BH37" s="261">
        <f>sum(BH35:BH36)</f>
        <v/>
      </c>
      <c r="BI37" s="261">
        <f>sum(BI35:BI36)</f>
        <v/>
      </c>
    </row>
    <row r="38">
      <c r="A38" s="128" t="n"/>
      <c r="B38" s="128" t="n"/>
      <c r="C38" s="128" t="n"/>
      <c r="D38" s="128" t="n"/>
      <c r="E38" s="128" t="n"/>
      <c r="F38" s="128" t="n"/>
      <c r="G38" s="128" t="n"/>
      <c r="H38" s="128" t="n"/>
      <c r="I38" s="128" t="n"/>
      <c r="J38" s="128" t="n"/>
      <c r="K38" s="128" t="n"/>
      <c r="L38" s="128" t="n"/>
      <c r="M38" s="128" t="n"/>
      <c r="N38" s="128" t="n"/>
      <c r="O38" s="128" t="n"/>
      <c r="P38" s="128" t="n"/>
      <c r="Q38" s="128" t="n"/>
      <c r="R38" s="128" t="n"/>
      <c r="S38" s="128" t="n"/>
      <c r="T38" s="128" t="n"/>
      <c r="U38" s="128" t="n"/>
      <c r="V38" s="128" t="n"/>
      <c r="W38" s="128" t="n"/>
      <c r="X38" s="128" t="n"/>
      <c r="Y38" s="128" t="n"/>
      <c r="Z38" s="206" t="n"/>
      <c r="AA38" s="206" t="n"/>
      <c r="AB38" s="206" t="n"/>
      <c r="AC38" s="206" t="n"/>
      <c r="AD38" s="206" t="n"/>
      <c r="AE38" s="206" t="n"/>
      <c r="AF38" s="206" t="n"/>
      <c r="AG38" s="206" t="n"/>
      <c r="AH38" s="206" t="n"/>
      <c r="AI38" s="206" t="n"/>
      <c r="AJ38" s="206" t="n"/>
      <c r="AK38" s="206" t="n"/>
      <c r="AL38" s="206" t="n"/>
      <c r="AM38" s="206" t="n"/>
      <c r="AN38" s="206" t="n"/>
      <c r="AO38" s="206" t="n"/>
      <c r="AP38" s="206" t="n"/>
      <c r="AQ38" s="206" t="n"/>
      <c r="AR38" s="206" t="n"/>
      <c r="AS38" s="206" t="n"/>
      <c r="AT38" s="206" t="n"/>
      <c r="AU38" s="206" t="n"/>
      <c r="AV38" s="206" t="n"/>
      <c r="AW38" s="206" t="n"/>
      <c r="AX38" s="206" t="n"/>
      <c r="AY38" s="206" t="n"/>
      <c r="AZ38" s="206" t="n"/>
      <c r="BA38" s="206" t="n"/>
      <c r="BB38" s="206" t="n"/>
      <c r="BC38" s="206" t="n"/>
      <c r="BD38" s="206" t="n"/>
      <c r="BE38" s="206" t="n"/>
      <c r="BF38" s="206" t="n"/>
      <c r="BG38" s="206" t="n"/>
      <c r="BH38" s="206" t="n"/>
      <c r="BI38" s="206" t="n"/>
    </row>
    <row r="39">
      <c r="A39" s="36" t="inlineStr">
        <is>
          <t>Revenue Streams</t>
        </is>
      </c>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c r="X39" s="94" t="n"/>
      <c r="Y39" s="94" t="n"/>
    </row>
    <row r="40">
      <c r="A40" s="38" t="inlineStr">
        <is>
          <t>Service Contract (RAF)</t>
        </is>
      </c>
      <c r="B40" s="133">
        <f>'Token Demand (5yr)'!B24</f>
        <v/>
      </c>
      <c r="C40" s="133">
        <f>'Token Demand (5yr)'!C24</f>
        <v/>
      </c>
      <c r="D40" s="133">
        <f>'Token Demand (5yr)'!D24</f>
        <v/>
      </c>
      <c r="E40" s="133">
        <f>'Token Demand (5yr)'!E24</f>
        <v/>
      </c>
      <c r="F40" s="133">
        <f>'Token Demand (5yr)'!F24</f>
        <v/>
      </c>
      <c r="G40" s="133">
        <f>'Token Demand (5yr)'!G24</f>
        <v/>
      </c>
      <c r="H40" s="133">
        <f>'Token Demand (5yr)'!H24</f>
        <v/>
      </c>
      <c r="I40" s="133">
        <f>'Token Demand (5yr)'!I24</f>
        <v/>
      </c>
      <c r="J40" s="133">
        <f>'Token Demand (5yr)'!J24</f>
        <v/>
      </c>
      <c r="K40" s="133">
        <f>'Token Demand (5yr)'!K31</f>
        <v/>
      </c>
      <c r="L40" s="133">
        <f>'Token Demand (5yr)'!L31</f>
        <v/>
      </c>
      <c r="M40" s="133">
        <f>'Token Demand (5yr)'!M31</f>
        <v/>
      </c>
      <c r="N40" s="133">
        <f>'RAF Cashflow (5yr)'!N23</f>
        <v/>
      </c>
      <c r="O40" s="133">
        <f>'RAF Cashflow (5yr)'!O23</f>
        <v/>
      </c>
      <c r="P40" s="133">
        <f>'RAF Cashflow (5yr)'!P23</f>
        <v/>
      </c>
      <c r="Q40" s="133">
        <f>'RAF Cashflow (5yr)'!Q23</f>
        <v/>
      </c>
      <c r="R40" s="133">
        <f>'RAF Cashflow (5yr)'!R23</f>
        <v/>
      </c>
      <c r="S40" s="133">
        <f>'RAF Cashflow (5yr)'!S23</f>
        <v/>
      </c>
      <c r="T40" s="133">
        <f>'RAF Cashflow (5yr)'!T23</f>
        <v/>
      </c>
      <c r="U40" s="133">
        <f>'RAF Cashflow (5yr)'!U23</f>
        <v/>
      </c>
      <c r="V40" s="133">
        <f>'RAF Cashflow (5yr)'!V23</f>
        <v/>
      </c>
      <c r="W40" s="133">
        <f>'RAF Cashflow (5yr)'!W23</f>
        <v/>
      </c>
      <c r="X40" s="133">
        <f>'RAF Cashflow (5yr)'!X23</f>
        <v/>
      </c>
      <c r="Y40" s="133">
        <f>'RAF Cashflow (5yr)'!Y23</f>
        <v/>
      </c>
      <c r="Z40" s="133">
        <f>'RAF Cashflow (5yr)'!Z23</f>
        <v/>
      </c>
      <c r="AA40" s="133">
        <f>'RAF Cashflow (5yr)'!AA23</f>
        <v/>
      </c>
      <c r="AB40" s="133">
        <f>'RAF Cashflow (5yr)'!AB23</f>
        <v/>
      </c>
      <c r="AC40" s="133">
        <f>'RAF Cashflow (5yr)'!AC23</f>
        <v/>
      </c>
      <c r="AD40" s="133">
        <f>'RAF Cashflow (5yr)'!AD23</f>
        <v/>
      </c>
      <c r="AE40" s="133">
        <f>'RAF Cashflow (5yr)'!AE23</f>
        <v/>
      </c>
      <c r="AF40" s="133">
        <f>'RAF Cashflow (5yr)'!AF23</f>
        <v/>
      </c>
      <c r="AG40" s="133">
        <f>'RAF Cashflow (5yr)'!AG23</f>
        <v/>
      </c>
      <c r="AH40" s="133">
        <f>'RAF Cashflow (5yr)'!AH23</f>
        <v/>
      </c>
      <c r="AI40" s="133">
        <f>'RAF Cashflow (5yr)'!AI23</f>
        <v/>
      </c>
      <c r="AJ40" s="133">
        <f>'RAF Cashflow (5yr)'!AJ23</f>
        <v/>
      </c>
      <c r="AK40" s="133">
        <f>'RAF Cashflow (5yr)'!AK23</f>
        <v/>
      </c>
      <c r="AL40" s="133">
        <f>'RAF Cashflow (5yr)'!AL23</f>
        <v/>
      </c>
      <c r="AM40" s="133">
        <f>'RAF Cashflow (5yr)'!AM23</f>
        <v/>
      </c>
      <c r="AN40" s="133">
        <f>'RAF Cashflow (5yr)'!AN23</f>
        <v/>
      </c>
      <c r="AO40" s="133">
        <f>'RAF Cashflow (5yr)'!AO23</f>
        <v/>
      </c>
      <c r="AP40" s="133">
        <f>'RAF Cashflow (5yr)'!AP23</f>
        <v/>
      </c>
      <c r="AQ40" s="133">
        <f>'RAF Cashflow (5yr)'!AQ23</f>
        <v/>
      </c>
      <c r="AR40" s="133">
        <f>'RAF Cashflow (5yr)'!AR23</f>
        <v/>
      </c>
      <c r="AS40" s="133">
        <f>'RAF Cashflow (5yr)'!AS23</f>
        <v/>
      </c>
      <c r="AT40" s="133">
        <f>'RAF Cashflow (5yr)'!AT23</f>
        <v/>
      </c>
      <c r="AU40" s="133">
        <f>'RAF Cashflow (5yr)'!AU23</f>
        <v/>
      </c>
      <c r="AV40" s="133">
        <f>'RAF Cashflow (5yr)'!AV23</f>
        <v/>
      </c>
      <c r="AW40" s="133">
        <f>'RAF Cashflow (5yr)'!AW23</f>
        <v/>
      </c>
      <c r="AX40" s="133">
        <f>'RAF Cashflow (5yr)'!AX23</f>
        <v/>
      </c>
      <c r="AY40" s="133">
        <f>'RAF Cashflow (5yr)'!AY23</f>
        <v/>
      </c>
      <c r="AZ40" s="133">
        <f>'RAF Cashflow (5yr)'!AZ23</f>
        <v/>
      </c>
      <c r="BA40" s="133">
        <f>'RAF Cashflow (5yr)'!BA23</f>
        <v/>
      </c>
      <c r="BB40" s="133">
        <f>'RAF Cashflow (5yr)'!BB23</f>
        <v/>
      </c>
      <c r="BC40" s="133">
        <f>'RAF Cashflow (5yr)'!BC23</f>
        <v/>
      </c>
      <c r="BD40" s="133">
        <f>'RAF Cashflow (5yr)'!BD23</f>
        <v/>
      </c>
      <c r="BE40" s="133">
        <f>'RAF Cashflow (5yr)'!BE23</f>
        <v/>
      </c>
      <c r="BF40" s="133">
        <f>'RAF Cashflow (5yr)'!BF23</f>
        <v/>
      </c>
      <c r="BG40" s="133">
        <f>'RAF Cashflow (5yr)'!BG23</f>
        <v/>
      </c>
      <c r="BH40" s="133">
        <f>'RAF Cashflow (5yr)'!BH23</f>
        <v/>
      </c>
      <c r="BI40" s="133">
        <f>'RAF Cashflow (5yr)'!BI23</f>
        <v/>
      </c>
    </row>
    <row r="41">
      <c r="A41" s="38" t="inlineStr">
        <is>
          <t>???</t>
        </is>
      </c>
      <c r="B41" s="133" t="n">
        <v>0</v>
      </c>
      <c r="C41" s="133" t="n">
        <v>0</v>
      </c>
      <c r="D41" s="133" t="n">
        <v>0</v>
      </c>
      <c r="E41" s="133" t="n">
        <v>0</v>
      </c>
      <c r="F41" s="133" t="n">
        <v>0</v>
      </c>
      <c r="G41" s="133" t="n">
        <v>0</v>
      </c>
      <c r="H41" s="133" t="n">
        <v>0</v>
      </c>
      <c r="I41" s="133" t="n">
        <v>0</v>
      </c>
      <c r="J41" s="133" t="n">
        <v>0</v>
      </c>
      <c r="K41" s="133" t="n">
        <v>0</v>
      </c>
      <c r="L41" s="133" t="n">
        <v>0</v>
      </c>
      <c r="M41" s="133" t="n">
        <v>0</v>
      </c>
      <c r="N41" s="133" t="n">
        <v>0</v>
      </c>
      <c r="O41" s="133" t="n">
        <v>0</v>
      </c>
      <c r="P41" s="133" t="n">
        <v>0</v>
      </c>
      <c r="Q41" s="133" t="n">
        <v>0</v>
      </c>
      <c r="R41" s="133" t="n">
        <v>0</v>
      </c>
      <c r="S41" s="133" t="n">
        <v>0</v>
      </c>
      <c r="T41" s="133" t="n">
        <v>0</v>
      </c>
      <c r="U41" s="133" t="n">
        <v>0</v>
      </c>
      <c r="V41" s="133" t="n">
        <v>0</v>
      </c>
      <c r="W41" s="133" t="n">
        <v>0</v>
      </c>
      <c r="X41" s="133" t="n">
        <v>0</v>
      </c>
      <c r="Y41" s="133" t="n">
        <v>0</v>
      </c>
      <c r="Z41" s="133" t="n">
        <v>0</v>
      </c>
      <c r="AA41" s="133" t="n">
        <v>0</v>
      </c>
      <c r="AB41" s="133" t="n">
        <v>0</v>
      </c>
      <c r="AC41" s="133" t="n">
        <v>0</v>
      </c>
      <c r="AD41" s="133" t="n">
        <v>0</v>
      </c>
      <c r="AE41" s="133" t="n">
        <v>0</v>
      </c>
      <c r="AF41" s="133" t="n">
        <v>0</v>
      </c>
      <c r="AG41" s="133" t="n">
        <v>0</v>
      </c>
      <c r="AH41" s="133" t="n">
        <v>0</v>
      </c>
      <c r="AI41" s="133" t="n">
        <v>0</v>
      </c>
      <c r="AJ41" s="133" t="n">
        <v>0</v>
      </c>
      <c r="AK41" s="133" t="n">
        <v>0</v>
      </c>
      <c r="AL41" s="133" t="n">
        <v>0</v>
      </c>
      <c r="AM41" s="133" t="n">
        <v>0</v>
      </c>
      <c r="AN41" s="133" t="n">
        <v>0</v>
      </c>
      <c r="AO41" s="133" t="n">
        <v>0</v>
      </c>
      <c r="AP41" s="133" t="n">
        <v>0</v>
      </c>
      <c r="AQ41" s="133" t="n">
        <v>0</v>
      </c>
      <c r="AR41" s="133" t="n">
        <v>0</v>
      </c>
      <c r="AS41" s="133" t="n">
        <v>0</v>
      </c>
      <c r="AT41" s="133" t="n">
        <v>0</v>
      </c>
      <c r="AU41" s="133" t="n">
        <v>0</v>
      </c>
      <c r="AV41" s="133" t="n">
        <v>0</v>
      </c>
      <c r="AW41" s="133" t="n">
        <v>0</v>
      </c>
      <c r="AX41" s="133" t="n">
        <v>0</v>
      </c>
      <c r="AY41" s="133" t="n">
        <v>0</v>
      </c>
      <c r="AZ41" s="133" t="n">
        <v>0</v>
      </c>
      <c r="BA41" s="133" t="n">
        <v>0</v>
      </c>
      <c r="BB41" s="133" t="n">
        <v>0</v>
      </c>
      <c r="BC41" s="133" t="n">
        <v>0</v>
      </c>
      <c r="BD41" s="133" t="n">
        <v>0</v>
      </c>
      <c r="BE41" s="133" t="n">
        <v>0</v>
      </c>
      <c r="BF41" s="133" t="n">
        <v>0</v>
      </c>
      <c r="BG41" s="133" t="n">
        <v>0</v>
      </c>
      <c r="BH41" s="133" t="n">
        <v>0</v>
      </c>
      <c r="BI41" s="133" t="n">
        <v>0</v>
      </c>
    </row>
    <row r="42">
      <c r="A42" s="38" t="inlineStr">
        <is>
          <t>???</t>
        </is>
      </c>
      <c r="B42" s="133" t="n">
        <v>0</v>
      </c>
      <c r="C42" s="133" t="n">
        <v>0</v>
      </c>
      <c r="D42" s="133" t="n">
        <v>0</v>
      </c>
      <c r="E42" s="133" t="n">
        <v>0</v>
      </c>
      <c r="F42" s="133" t="n">
        <v>0</v>
      </c>
      <c r="G42" s="133" t="n">
        <v>0</v>
      </c>
      <c r="H42" s="133" t="n">
        <v>0</v>
      </c>
      <c r="I42" s="133" t="n">
        <v>0</v>
      </c>
      <c r="J42" s="133" t="n">
        <v>0</v>
      </c>
      <c r="K42" s="133" t="n">
        <v>0</v>
      </c>
      <c r="L42" s="133" t="n">
        <v>0</v>
      </c>
      <c r="M42" s="133" t="n">
        <v>0</v>
      </c>
      <c r="N42" s="133" t="n">
        <v>0</v>
      </c>
      <c r="O42" s="133" t="n">
        <v>0</v>
      </c>
      <c r="P42" s="133" t="n">
        <v>0</v>
      </c>
      <c r="Q42" s="133" t="n">
        <v>0</v>
      </c>
      <c r="R42" s="133" t="n">
        <v>0</v>
      </c>
      <c r="S42" s="133" t="n">
        <v>0</v>
      </c>
      <c r="T42" s="133" t="n">
        <v>0</v>
      </c>
      <c r="U42" s="133" t="n">
        <v>0</v>
      </c>
      <c r="V42" s="133" t="n">
        <v>0</v>
      </c>
      <c r="W42" s="133" t="n">
        <v>0</v>
      </c>
      <c r="X42" s="133" t="n">
        <v>0</v>
      </c>
      <c r="Y42" s="133" t="n">
        <v>0</v>
      </c>
      <c r="Z42" s="133" t="n">
        <v>0</v>
      </c>
      <c r="AA42" s="133" t="n">
        <v>0</v>
      </c>
      <c r="AB42" s="133" t="n">
        <v>0</v>
      </c>
      <c r="AC42" s="133" t="n">
        <v>0</v>
      </c>
      <c r="AD42" s="133" t="n">
        <v>0</v>
      </c>
      <c r="AE42" s="133" t="n">
        <v>0</v>
      </c>
      <c r="AF42" s="133" t="n">
        <v>0</v>
      </c>
      <c r="AG42" s="133" t="n">
        <v>0</v>
      </c>
      <c r="AH42" s="133" t="n">
        <v>0</v>
      </c>
      <c r="AI42" s="133" t="n">
        <v>0</v>
      </c>
      <c r="AJ42" s="133" t="n">
        <v>0</v>
      </c>
      <c r="AK42" s="133" t="n">
        <v>0</v>
      </c>
      <c r="AL42" s="133" t="n">
        <v>0</v>
      </c>
      <c r="AM42" s="133" t="n">
        <v>0</v>
      </c>
      <c r="AN42" s="133" t="n">
        <v>0</v>
      </c>
      <c r="AO42" s="133" t="n">
        <v>0</v>
      </c>
      <c r="AP42" s="133" t="n">
        <v>0</v>
      </c>
      <c r="AQ42" s="133" t="n">
        <v>0</v>
      </c>
      <c r="AR42" s="133" t="n">
        <v>0</v>
      </c>
      <c r="AS42" s="133" t="n">
        <v>0</v>
      </c>
      <c r="AT42" s="133" t="n">
        <v>0</v>
      </c>
      <c r="AU42" s="133" t="n">
        <v>0</v>
      </c>
      <c r="AV42" s="133" t="n">
        <v>0</v>
      </c>
      <c r="AW42" s="133" t="n">
        <v>0</v>
      </c>
      <c r="AX42" s="133" t="n">
        <v>0</v>
      </c>
      <c r="AY42" s="133" t="n">
        <v>0</v>
      </c>
      <c r="AZ42" s="133" t="n">
        <v>0</v>
      </c>
      <c r="BA42" s="133" t="n">
        <v>0</v>
      </c>
      <c r="BB42" s="133" t="n">
        <v>0</v>
      </c>
      <c r="BC42" s="133" t="n">
        <v>0</v>
      </c>
      <c r="BD42" s="133" t="n">
        <v>0</v>
      </c>
      <c r="BE42" s="133" t="n">
        <v>0</v>
      </c>
      <c r="BF42" s="133" t="n">
        <v>0</v>
      </c>
      <c r="BG42" s="133" t="n">
        <v>0</v>
      </c>
      <c r="BH42" s="133" t="n">
        <v>0</v>
      </c>
      <c r="BI42" s="133" t="n">
        <v>0</v>
      </c>
    </row>
    <row r="43">
      <c r="A43" s="108" t="inlineStr">
        <is>
          <t>Total Revenue</t>
        </is>
      </c>
      <c r="B43" s="261">
        <f>SUM(B40:B42)</f>
        <v/>
      </c>
      <c r="C43" s="261">
        <f>SUM(C40:C42)</f>
        <v/>
      </c>
      <c r="D43" s="261">
        <f>SUM(D40:D42)</f>
        <v/>
      </c>
      <c r="E43" s="261">
        <f>SUM(E40:E42)</f>
        <v/>
      </c>
      <c r="F43" s="261">
        <f>SUM(F40:F42)</f>
        <v/>
      </c>
      <c r="G43" s="261">
        <f>SUM(G40:G42)</f>
        <v/>
      </c>
      <c r="H43" s="261">
        <f>SUM(H40:H42)</f>
        <v/>
      </c>
      <c r="I43" s="261">
        <f>SUM(I40:I42)</f>
        <v/>
      </c>
      <c r="J43" s="261">
        <f>SUM(J40:J42)</f>
        <v/>
      </c>
      <c r="K43" s="261">
        <f>SUM(K40:K42)</f>
        <v/>
      </c>
      <c r="L43" s="261">
        <f>SUM(L40:L42)</f>
        <v/>
      </c>
      <c r="M43" s="261">
        <f>SUM(M40:M42)</f>
        <v/>
      </c>
      <c r="N43" s="261">
        <f>SUM(N40:N42)</f>
        <v/>
      </c>
      <c r="O43" s="261">
        <f>SUM(O40:O42)</f>
        <v/>
      </c>
      <c r="P43" s="261">
        <f>SUM(P40:P42)</f>
        <v/>
      </c>
      <c r="Q43" s="261">
        <f>SUM(Q40:Q42)</f>
        <v/>
      </c>
      <c r="R43" s="261">
        <f>SUM(R40:R42)</f>
        <v/>
      </c>
      <c r="S43" s="261">
        <f>SUM(S40:S42)</f>
        <v/>
      </c>
      <c r="T43" s="261">
        <f>SUM(T40:T42)</f>
        <v/>
      </c>
      <c r="U43" s="261">
        <f>SUM(U40:U42)</f>
        <v/>
      </c>
      <c r="V43" s="261">
        <f>SUM(V40:V42)</f>
        <v/>
      </c>
      <c r="W43" s="261">
        <f>SUM(W40:W42)</f>
        <v/>
      </c>
      <c r="X43" s="261">
        <f>SUM(X40:X42)</f>
        <v/>
      </c>
      <c r="Y43" s="261">
        <f>SUM(Y40:Y42)</f>
        <v/>
      </c>
      <c r="Z43" s="261">
        <f>SUM(Z40:Z42)</f>
        <v/>
      </c>
      <c r="AA43" s="261">
        <f>SUM(AA40:AA42)</f>
        <v/>
      </c>
      <c r="AB43" s="261">
        <f>SUM(AB40:AB42)</f>
        <v/>
      </c>
      <c r="AC43" s="261">
        <f>SUM(AC40:AC42)</f>
        <v/>
      </c>
      <c r="AD43" s="261">
        <f>SUM(AD40:AD42)</f>
        <v/>
      </c>
      <c r="AE43" s="261">
        <f>SUM(AE40:AE42)</f>
        <v/>
      </c>
      <c r="AF43" s="261">
        <f>SUM(AF40:AF42)</f>
        <v/>
      </c>
      <c r="AG43" s="261">
        <f>SUM(AG40:AG42)</f>
        <v/>
      </c>
      <c r="AH43" s="261">
        <f>SUM(AH40:AH42)</f>
        <v/>
      </c>
      <c r="AI43" s="261">
        <f>SUM(AI40:AI42)</f>
        <v/>
      </c>
      <c r="AJ43" s="261">
        <f>SUM(AJ40:AJ42)</f>
        <v/>
      </c>
      <c r="AK43" s="261">
        <f>SUM(AK40:AK42)</f>
        <v/>
      </c>
      <c r="AL43" s="261">
        <f>SUM(AL40:AL42)</f>
        <v/>
      </c>
      <c r="AM43" s="261">
        <f>SUM(AM40:AM42)</f>
        <v/>
      </c>
      <c r="AN43" s="261">
        <f>SUM(AN40:AN42)</f>
        <v/>
      </c>
      <c r="AO43" s="261">
        <f>SUM(AO40:AO42)</f>
        <v/>
      </c>
      <c r="AP43" s="261">
        <f>SUM(AP40:AP42)</f>
        <v/>
      </c>
      <c r="AQ43" s="261">
        <f>SUM(AQ40:AQ42)</f>
        <v/>
      </c>
      <c r="AR43" s="261">
        <f>SUM(AR40:AR42)</f>
        <v/>
      </c>
      <c r="AS43" s="261">
        <f>SUM(AS40:AS42)</f>
        <v/>
      </c>
      <c r="AT43" s="261">
        <f>SUM(AT40:AT42)</f>
        <v/>
      </c>
      <c r="AU43" s="261">
        <f>SUM(AU40:AU42)</f>
        <v/>
      </c>
      <c r="AV43" s="261">
        <f>SUM(AV40:AV42)</f>
        <v/>
      </c>
      <c r="AW43" s="261">
        <f>SUM(AW40:AW42)</f>
        <v/>
      </c>
      <c r="AX43" s="261">
        <f>SUM(AX40:AX42)</f>
        <v/>
      </c>
      <c r="AY43" s="261">
        <f>SUM(AY40:AY42)</f>
        <v/>
      </c>
      <c r="AZ43" s="261">
        <f>SUM(AZ40:AZ42)</f>
        <v/>
      </c>
      <c r="BA43" s="261">
        <f>SUM(BA40:BA42)</f>
        <v/>
      </c>
      <c r="BB43" s="261">
        <f>SUM(BB40:BB42)</f>
        <v/>
      </c>
      <c r="BC43" s="261">
        <f>SUM(BC40:BC42)</f>
        <v/>
      </c>
      <c r="BD43" s="261">
        <f>SUM(BD40:BD42)</f>
        <v/>
      </c>
      <c r="BE43" s="261">
        <f>SUM(BE40:BE42)</f>
        <v/>
      </c>
      <c r="BF43" s="261">
        <f>SUM(BF40:BF42)</f>
        <v/>
      </c>
      <c r="BG43" s="261">
        <f>SUM(BG40:BG42)</f>
        <v/>
      </c>
      <c r="BH43" s="261">
        <f>SUM(BH40:BH42)</f>
        <v/>
      </c>
      <c r="BI43" s="261">
        <f>SUM(BI40:BI42)</f>
        <v/>
      </c>
    </row>
    <row r="44">
      <c r="A44" s="128" t="n"/>
      <c r="B44" s="128" t="n"/>
      <c r="C44" s="128" t="n"/>
      <c r="D44" s="128" t="n"/>
      <c r="E44" s="128" t="n"/>
      <c r="F44" s="128" t="n"/>
      <c r="G44" s="128" t="n"/>
      <c r="H44" s="128" t="n"/>
      <c r="I44" s="128" t="n"/>
      <c r="J44" s="128" t="n"/>
      <c r="K44" s="128" t="n"/>
      <c r="L44" s="128" t="n"/>
      <c r="M44" s="128" t="n"/>
      <c r="N44" s="128" t="n"/>
      <c r="O44" s="128" t="n"/>
      <c r="P44" s="128" t="n"/>
      <c r="Q44" s="128" t="n"/>
      <c r="R44" s="128" t="n"/>
      <c r="S44" s="128" t="n"/>
      <c r="T44" s="128" t="n"/>
      <c r="U44" s="128" t="n"/>
      <c r="V44" s="128" t="n"/>
      <c r="W44" s="128" t="n"/>
      <c r="X44" s="128" t="n"/>
      <c r="Y44" s="128" t="n"/>
      <c r="Z44" s="206" t="n"/>
      <c r="AA44" s="206" t="n"/>
      <c r="AB44" s="206" t="n"/>
      <c r="AC44" s="206" t="n"/>
      <c r="AD44" s="206" t="n"/>
      <c r="AE44" s="206" t="n"/>
      <c r="AF44" s="206" t="n"/>
      <c r="AG44" s="206" t="n"/>
      <c r="AH44" s="206" t="n"/>
      <c r="AI44" s="206" t="n"/>
      <c r="AJ44" s="206" t="n"/>
      <c r="AK44" s="206" t="n"/>
      <c r="AL44" s="206" t="n"/>
      <c r="AM44" s="206" t="n"/>
      <c r="AN44" s="206" t="n"/>
      <c r="AO44" s="206" t="n"/>
      <c r="AP44" s="206" t="n"/>
      <c r="AQ44" s="206" t="n"/>
      <c r="AR44" s="206" t="n"/>
      <c r="AS44" s="206" t="n"/>
      <c r="AT44" s="206" t="n"/>
      <c r="AU44" s="206" t="n"/>
      <c r="AV44" s="206" t="n"/>
      <c r="AW44" s="206" t="n"/>
      <c r="AX44" s="206" t="n"/>
      <c r="AY44" s="206" t="n"/>
      <c r="AZ44" s="206" t="n"/>
      <c r="BA44" s="206" t="n"/>
      <c r="BB44" s="206" t="n"/>
      <c r="BC44" s="206" t="n"/>
      <c r="BD44" s="206" t="n"/>
      <c r="BE44" s="206" t="n"/>
      <c r="BF44" s="206" t="n"/>
      <c r="BG44" s="206" t="n"/>
      <c r="BH44" s="206" t="n"/>
      <c r="BI44" s="206" t="n"/>
    </row>
    <row r="45">
      <c r="A45" s="36" t="inlineStr">
        <is>
          <t>Summary</t>
        </is>
      </c>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row>
    <row r="46">
      <c r="A46" s="38" t="inlineStr">
        <is>
          <t>Operating Expenses</t>
        </is>
      </c>
      <c r="B46" s="133">
        <f>-B37</f>
        <v/>
      </c>
      <c r="C46" s="133">
        <f>-C37</f>
        <v/>
      </c>
      <c r="D46" s="133">
        <f>-D37</f>
        <v/>
      </c>
      <c r="E46" s="133">
        <f>-E37</f>
        <v/>
      </c>
      <c r="F46" s="133">
        <f>-F37</f>
        <v/>
      </c>
      <c r="G46" s="133">
        <f>-G37</f>
        <v/>
      </c>
      <c r="H46" s="133">
        <f>-H37</f>
        <v/>
      </c>
      <c r="I46" s="133">
        <f>-I37</f>
        <v/>
      </c>
      <c r="J46" s="133">
        <f>-J37</f>
        <v/>
      </c>
      <c r="K46" s="133">
        <f>-K37</f>
        <v/>
      </c>
      <c r="L46" s="133">
        <f>-L37</f>
        <v/>
      </c>
      <c r="M46" s="133">
        <f>-M37</f>
        <v/>
      </c>
      <c r="N46" s="133">
        <f>-N37</f>
        <v/>
      </c>
      <c r="O46" s="133">
        <f>-O37</f>
        <v/>
      </c>
      <c r="P46" s="133">
        <f>-P37</f>
        <v/>
      </c>
      <c r="Q46" s="133">
        <f>-Q37</f>
        <v/>
      </c>
      <c r="R46" s="133">
        <f>-R37</f>
        <v/>
      </c>
      <c r="S46" s="133">
        <f>-S37</f>
        <v/>
      </c>
      <c r="T46" s="133">
        <f>-T37</f>
        <v/>
      </c>
      <c r="U46" s="133">
        <f>-U37</f>
        <v/>
      </c>
      <c r="V46" s="133">
        <f>-V37</f>
        <v/>
      </c>
      <c r="W46" s="133">
        <f>-W37</f>
        <v/>
      </c>
      <c r="X46" s="133">
        <f>-X37</f>
        <v/>
      </c>
      <c r="Y46" s="133">
        <f>-Y37</f>
        <v/>
      </c>
      <c r="Z46" s="133">
        <f>-Z37</f>
        <v/>
      </c>
      <c r="AA46" s="133">
        <f>-AA37</f>
        <v/>
      </c>
      <c r="AB46" s="133">
        <f>-AB37</f>
        <v/>
      </c>
      <c r="AC46" s="133">
        <f>-AC37</f>
        <v/>
      </c>
      <c r="AD46" s="133">
        <f>-AD37</f>
        <v/>
      </c>
      <c r="AE46" s="133">
        <f>-AE37</f>
        <v/>
      </c>
      <c r="AF46" s="133">
        <f>-AF37</f>
        <v/>
      </c>
      <c r="AG46" s="133">
        <f>-AG37</f>
        <v/>
      </c>
      <c r="AH46" s="133">
        <f>-AH37</f>
        <v/>
      </c>
      <c r="AI46" s="133">
        <f>-AI37</f>
        <v/>
      </c>
      <c r="AJ46" s="133">
        <f>-AJ37</f>
        <v/>
      </c>
      <c r="AK46" s="133">
        <f>-AK37</f>
        <v/>
      </c>
      <c r="AL46" s="133">
        <f>-AL37</f>
        <v/>
      </c>
      <c r="AM46" s="133">
        <f>-AM37</f>
        <v/>
      </c>
      <c r="AN46" s="133">
        <f>-AN37</f>
        <v/>
      </c>
      <c r="AO46" s="133">
        <f>-AO37</f>
        <v/>
      </c>
      <c r="AP46" s="133">
        <f>-AP37</f>
        <v/>
      </c>
      <c r="AQ46" s="133">
        <f>-AQ37</f>
        <v/>
      </c>
      <c r="AR46" s="133">
        <f>-AR37</f>
        <v/>
      </c>
      <c r="AS46" s="133">
        <f>-AS37</f>
        <v/>
      </c>
      <c r="AT46" s="133">
        <f>-AT37</f>
        <v/>
      </c>
      <c r="AU46" s="133">
        <f>-AU37</f>
        <v/>
      </c>
      <c r="AV46" s="133">
        <f>-AV37</f>
        <v/>
      </c>
      <c r="AW46" s="133">
        <f>-AW37</f>
        <v/>
      </c>
      <c r="AX46" s="133">
        <f>-AX37</f>
        <v/>
      </c>
      <c r="AY46" s="133">
        <f>-AY37</f>
        <v/>
      </c>
      <c r="AZ46" s="133">
        <f>-AZ37</f>
        <v/>
      </c>
      <c r="BA46" s="133">
        <f>-BA37</f>
        <v/>
      </c>
      <c r="BB46" s="133">
        <f>-BB37</f>
        <v/>
      </c>
      <c r="BC46" s="133">
        <f>-BC37</f>
        <v/>
      </c>
      <c r="BD46" s="133">
        <f>-BD37</f>
        <v/>
      </c>
      <c r="BE46" s="133">
        <f>-BE37</f>
        <v/>
      </c>
      <c r="BF46" s="133">
        <f>-BF37</f>
        <v/>
      </c>
      <c r="BG46" s="133">
        <f>-BG37</f>
        <v/>
      </c>
      <c r="BH46" s="133">
        <f>-BH37</f>
        <v/>
      </c>
      <c r="BI46" s="133">
        <f>-BI37</f>
        <v/>
      </c>
    </row>
    <row r="47">
      <c r="A47" s="38" t="inlineStr">
        <is>
          <t>Capital Activities</t>
        </is>
      </c>
      <c r="B47" s="133" t="n">
        <v>50000</v>
      </c>
      <c r="C47" s="133">
        <f>C32</f>
        <v/>
      </c>
      <c r="D47" s="133">
        <f>D32</f>
        <v/>
      </c>
      <c r="E47" s="133">
        <f>E32</f>
        <v/>
      </c>
      <c r="F47" s="133">
        <f>F32</f>
        <v/>
      </c>
      <c r="G47" s="133">
        <f>G32</f>
        <v/>
      </c>
      <c r="H47" s="133">
        <f>H32</f>
        <v/>
      </c>
      <c r="I47" s="133">
        <f>I32</f>
        <v/>
      </c>
      <c r="J47" s="133">
        <f>J32</f>
        <v/>
      </c>
      <c r="K47" s="133">
        <f>K32</f>
        <v/>
      </c>
      <c r="L47" s="133">
        <f>L32</f>
        <v/>
      </c>
      <c r="M47" s="133">
        <f>M32</f>
        <v/>
      </c>
      <c r="N47" s="133">
        <f>N32</f>
        <v/>
      </c>
      <c r="O47" s="133">
        <f>O32</f>
        <v/>
      </c>
      <c r="P47" s="133">
        <f>P32</f>
        <v/>
      </c>
      <c r="Q47" s="133">
        <f>Q32</f>
        <v/>
      </c>
      <c r="R47" s="133">
        <f>R32</f>
        <v/>
      </c>
      <c r="S47" s="133">
        <f>S32</f>
        <v/>
      </c>
      <c r="T47" s="133">
        <f>T32</f>
        <v/>
      </c>
      <c r="U47" s="133">
        <f>U32</f>
        <v/>
      </c>
      <c r="V47" s="133">
        <f>V32</f>
        <v/>
      </c>
      <c r="W47" s="133">
        <f>W32</f>
        <v/>
      </c>
      <c r="X47" s="133">
        <f>X32</f>
        <v/>
      </c>
      <c r="Y47" s="133">
        <f>Y32</f>
        <v/>
      </c>
      <c r="Z47" s="133">
        <f>Z32</f>
        <v/>
      </c>
      <c r="AA47" s="133">
        <f>AA32</f>
        <v/>
      </c>
      <c r="AB47" s="133">
        <f>AB32</f>
        <v/>
      </c>
      <c r="AC47" s="133">
        <f>AC32</f>
        <v/>
      </c>
      <c r="AD47" s="133">
        <f>AD32</f>
        <v/>
      </c>
      <c r="AE47" s="133">
        <f>AE32</f>
        <v/>
      </c>
      <c r="AF47" s="133">
        <f>AF32</f>
        <v/>
      </c>
      <c r="AG47" s="133">
        <f>AG32</f>
        <v/>
      </c>
      <c r="AH47" s="133">
        <f>AH32</f>
        <v/>
      </c>
      <c r="AI47" s="133">
        <f>AI32</f>
        <v/>
      </c>
      <c r="AJ47" s="133">
        <f>AJ32</f>
        <v/>
      </c>
      <c r="AK47" s="133">
        <f>AK32</f>
        <v/>
      </c>
      <c r="AL47" s="133">
        <f>AL32</f>
        <v/>
      </c>
      <c r="AM47" s="133">
        <f>AM32</f>
        <v/>
      </c>
      <c r="AN47" s="133">
        <f>AN32</f>
        <v/>
      </c>
      <c r="AO47" s="133">
        <f>AO32</f>
        <v/>
      </c>
      <c r="AP47" s="133">
        <f>AP32</f>
        <v/>
      </c>
      <c r="AQ47" s="133">
        <f>AQ32</f>
        <v/>
      </c>
      <c r="AR47" s="133">
        <f>AR32</f>
        <v/>
      </c>
      <c r="AS47" s="133">
        <f>AS32</f>
        <v/>
      </c>
      <c r="AT47" s="133">
        <f>AT32</f>
        <v/>
      </c>
      <c r="AU47" s="133">
        <f>AU32</f>
        <v/>
      </c>
      <c r="AV47" s="133">
        <f>AV32</f>
        <v/>
      </c>
      <c r="AW47" s="133">
        <f>AW32</f>
        <v/>
      </c>
      <c r="AX47" s="133">
        <f>AX32</f>
        <v/>
      </c>
      <c r="AY47" s="133">
        <f>AY32</f>
        <v/>
      </c>
      <c r="AZ47" s="133">
        <f>AZ32</f>
        <v/>
      </c>
      <c r="BA47" s="133">
        <f>BA32</f>
        <v/>
      </c>
      <c r="BB47" s="133">
        <f>BB32</f>
        <v/>
      </c>
      <c r="BC47" s="133">
        <f>BC32</f>
        <v/>
      </c>
      <c r="BD47" s="133">
        <f>BD32</f>
        <v/>
      </c>
      <c r="BE47" s="133">
        <f>BE32</f>
        <v/>
      </c>
      <c r="BF47" s="133">
        <f>BF32</f>
        <v/>
      </c>
      <c r="BG47" s="133">
        <f>BG32</f>
        <v/>
      </c>
      <c r="BH47" s="133">
        <f>BH32</f>
        <v/>
      </c>
      <c r="BI47" s="133">
        <f>BI32</f>
        <v/>
      </c>
    </row>
    <row r="48">
      <c r="A48" s="38" t="inlineStr">
        <is>
          <t>Revenue</t>
        </is>
      </c>
      <c r="B48" s="133">
        <f>B43</f>
        <v/>
      </c>
      <c r="C48" s="133">
        <f>C43</f>
        <v/>
      </c>
      <c r="D48" s="133">
        <f>D43</f>
        <v/>
      </c>
      <c r="E48" s="133">
        <f>E43</f>
        <v/>
      </c>
      <c r="F48" s="133">
        <f>F43</f>
        <v/>
      </c>
      <c r="G48" s="133">
        <f>G43</f>
        <v/>
      </c>
      <c r="H48" s="133">
        <f>H43</f>
        <v/>
      </c>
      <c r="I48" s="133">
        <f>I43</f>
        <v/>
      </c>
      <c r="J48" s="133">
        <f>J43</f>
        <v/>
      </c>
      <c r="K48" s="133">
        <f>K43</f>
        <v/>
      </c>
      <c r="L48" s="133">
        <f>L43</f>
        <v/>
      </c>
      <c r="M48" s="133">
        <f>M43</f>
        <v/>
      </c>
      <c r="N48" s="133">
        <f>N43</f>
        <v/>
      </c>
      <c r="O48" s="133">
        <f>O43</f>
        <v/>
      </c>
      <c r="P48" s="133">
        <f>P43</f>
        <v/>
      </c>
      <c r="Q48" s="133">
        <f>Q43</f>
        <v/>
      </c>
      <c r="R48" s="133">
        <f>R43</f>
        <v/>
      </c>
      <c r="S48" s="133">
        <f>S43</f>
        <v/>
      </c>
      <c r="T48" s="133">
        <f>T43</f>
        <v/>
      </c>
      <c r="U48" s="133">
        <f>U43</f>
        <v/>
      </c>
      <c r="V48" s="133">
        <f>V43</f>
        <v/>
      </c>
      <c r="W48" s="133">
        <f>W43</f>
        <v/>
      </c>
      <c r="X48" s="133">
        <f>X43</f>
        <v/>
      </c>
      <c r="Y48" s="133">
        <f>Y43</f>
        <v/>
      </c>
      <c r="Z48" s="133">
        <f>Z43</f>
        <v/>
      </c>
      <c r="AA48" s="133">
        <f>AA43</f>
        <v/>
      </c>
      <c r="AB48" s="133">
        <f>AB43</f>
        <v/>
      </c>
      <c r="AC48" s="133">
        <f>AC43</f>
        <v/>
      </c>
      <c r="AD48" s="133">
        <f>AD43</f>
        <v/>
      </c>
      <c r="AE48" s="133">
        <f>AE43</f>
        <v/>
      </c>
      <c r="AF48" s="133">
        <f>AF43</f>
        <v/>
      </c>
      <c r="AG48" s="133">
        <f>AG43</f>
        <v/>
      </c>
      <c r="AH48" s="133">
        <f>AH43</f>
        <v/>
      </c>
      <c r="AI48" s="133">
        <f>AI43</f>
        <v/>
      </c>
      <c r="AJ48" s="133">
        <f>AJ43</f>
        <v/>
      </c>
      <c r="AK48" s="133">
        <f>AK43</f>
        <v/>
      </c>
      <c r="AL48" s="133">
        <f>AL43</f>
        <v/>
      </c>
      <c r="AM48" s="133">
        <f>AM43</f>
        <v/>
      </c>
      <c r="AN48" s="133">
        <f>AN43</f>
        <v/>
      </c>
      <c r="AO48" s="133">
        <f>AO43</f>
        <v/>
      </c>
      <c r="AP48" s="133">
        <f>AP43</f>
        <v/>
      </c>
      <c r="AQ48" s="133">
        <f>AQ43</f>
        <v/>
      </c>
      <c r="AR48" s="133">
        <f>AR43</f>
        <v/>
      </c>
      <c r="AS48" s="133">
        <f>AS43</f>
        <v/>
      </c>
      <c r="AT48" s="133">
        <f>AT43</f>
        <v/>
      </c>
      <c r="AU48" s="133">
        <f>AU43</f>
        <v/>
      </c>
      <c r="AV48" s="133">
        <f>AV43</f>
        <v/>
      </c>
      <c r="AW48" s="133">
        <f>AW43</f>
        <v/>
      </c>
      <c r="AX48" s="133">
        <f>AX43</f>
        <v/>
      </c>
      <c r="AY48" s="133">
        <f>AY43</f>
        <v/>
      </c>
      <c r="AZ48" s="133">
        <f>AZ43</f>
        <v/>
      </c>
      <c r="BA48" s="133">
        <f>BA43</f>
        <v/>
      </c>
      <c r="BB48" s="133">
        <f>BB43</f>
        <v/>
      </c>
      <c r="BC48" s="133">
        <f>BC43</f>
        <v/>
      </c>
      <c r="BD48" s="133">
        <f>BD43</f>
        <v/>
      </c>
      <c r="BE48" s="133">
        <f>BE43</f>
        <v/>
      </c>
      <c r="BF48" s="133">
        <f>BF43</f>
        <v/>
      </c>
      <c r="BG48" s="133">
        <f>BG43</f>
        <v/>
      </c>
      <c r="BH48" s="133">
        <f>BH43</f>
        <v/>
      </c>
      <c r="BI48" s="133">
        <f>BI43</f>
        <v/>
      </c>
    </row>
    <row r="49">
      <c r="A49" s="38" t="inlineStr">
        <is>
          <t>Net Cashflow</t>
        </is>
      </c>
      <c r="B49" s="133">
        <f>SUM(B46:B48)</f>
        <v/>
      </c>
      <c r="C49" s="133">
        <f>SUM(C46:C48)</f>
        <v/>
      </c>
      <c r="D49" s="133">
        <f>SUM(D46:D48)</f>
        <v/>
      </c>
      <c r="E49" s="133">
        <f>SUM(E46:E48)</f>
        <v/>
      </c>
      <c r="F49" s="133">
        <f>SUM(F46:F48)</f>
        <v/>
      </c>
      <c r="G49" s="133">
        <f>SUM(G46:G48)</f>
        <v/>
      </c>
      <c r="H49" s="133">
        <f>SUM(H46:H48)</f>
        <v/>
      </c>
      <c r="I49" s="133">
        <f>SUM(I46:I48)</f>
        <v/>
      </c>
      <c r="J49" s="133">
        <f>SUM(J46:J48)</f>
        <v/>
      </c>
      <c r="K49" s="133">
        <f>SUM(K46:K48)</f>
        <v/>
      </c>
      <c r="L49" s="133">
        <f>SUM(L46:L48)</f>
        <v/>
      </c>
      <c r="M49" s="133">
        <f>SUM(M46:M48)</f>
        <v/>
      </c>
      <c r="N49" s="133">
        <f>SUM(N46:N48)</f>
        <v/>
      </c>
      <c r="O49" s="133">
        <f>SUM(O46:O48)</f>
        <v/>
      </c>
      <c r="P49" s="133">
        <f>SUM(P46:P48)</f>
        <v/>
      </c>
      <c r="Q49" s="133">
        <f>SUM(Q46:Q48)</f>
        <v/>
      </c>
      <c r="R49" s="133">
        <f>SUM(R46:R48)</f>
        <v/>
      </c>
      <c r="S49" s="133">
        <f>SUM(S46:S48)</f>
        <v/>
      </c>
      <c r="T49" s="133">
        <f>SUM(T46:T48)</f>
        <v/>
      </c>
      <c r="U49" s="133">
        <f>SUM(U46:U48)</f>
        <v/>
      </c>
      <c r="V49" s="133">
        <f>SUM(V46:V48)</f>
        <v/>
      </c>
      <c r="W49" s="133">
        <f>SUM(W46:W48)</f>
        <v/>
      </c>
      <c r="X49" s="133">
        <f>SUM(X46:X48)</f>
        <v/>
      </c>
      <c r="Y49" s="133">
        <f>SUM(Y46:Y48)</f>
        <v/>
      </c>
      <c r="Z49" s="133">
        <f>SUM(Z46:Z48)</f>
        <v/>
      </c>
      <c r="AA49" s="133">
        <f>SUM(AA46:AA48)</f>
        <v/>
      </c>
      <c r="AB49" s="133">
        <f>SUM(AB46:AB48)</f>
        <v/>
      </c>
      <c r="AC49" s="133">
        <f>SUM(AC46:AC48)</f>
        <v/>
      </c>
      <c r="AD49" s="133">
        <f>SUM(AD46:AD48)</f>
        <v/>
      </c>
      <c r="AE49" s="133">
        <f>SUM(AE46:AE48)</f>
        <v/>
      </c>
      <c r="AF49" s="133">
        <f>SUM(AF46:AF48)</f>
        <v/>
      </c>
      <c r="AG49" s="133">
        <f>SUM(AG46:AG48)</f>
        <v/>
      </c>
      <c r="AH49" s="133">
        <f>SUM(AH46:AH48)</f>
        <v/>
      </c>
      <c r="AI49" s="133">
        <f>SUM(AI46:AI48)</f>
        <v/>
      </c>
      <c r="AJ49" s="133">
        <f>SUM(AJ46:AJ48)</f>
        <v/>
      </c>
      <c r="AK49" s="133">
        <f>SUM(AK46:AK48)</f>
        <v/>
      </c>
      <c r="AL49" s="133">
        <f>SUM(AL46:AL48)</f>
        <v/>
      </c>
      <c r="AM49" s="133">
        <f>SUM(AM46:AM48)</f>
        <v/>
      </c>
      <c r="AN49" s="133">
        <f>SUM(AN46:AN48)</f>
        <v/>
      </c>
      <c r="AO49" s="133">
        <f>SUM(AO46:AO48)</f>
        <v/>
      </c>
      <c r="AP49" s="133">
        <f>SUM(AP46:AP48)</f>
        <v/>
      </c>
      <c r="AQ49" s="133">
        <f>SUM(AQ46:AQ48)</f>
        <v/>
      </c>
      <c r="AR49" s="133">
        <f>SUM(AR46:AR48)</f>
        <v/>
      </c>
      <c r="AS49" s="133">
        <f>SUM(AS46:AS48)</f>
        <v/>
      </c>
      <c r="AT49" s="133">
        <f>SUM(AT46:AT48)</f>
        <v/>
      </c>
      <c r="AU49" s="133">
        <f>SUM(AU46:AU48)</f>
        <v/>
      </c>
      <c r="AV49" s="133">
        <f>SUM(AV46:AV48)</f>
        <v/>
      </c>
      <c r="AW49" s="133">
        <f>SUM(AW46:AW48)</f>
        <v/>
      </c>
      <c r="AX49" s="133">
        <f>SUM(AX46:AX48)</f>
        <v/>
      </c>
      <c r="AY49" s="133">
        <f>SUM(AY46:AY48)</f>
        <v/>
      </c>
      <c r="AZ49" s="133">
        <f>SUM(AZ46:AZ48)</f>
        <v/>
      </c>
      <c r="BA49" s="133">
        <f>SUM(BA46:BA48)</f>
        <v/>
      </c>
      <c r="BB49" s="133">
        <f>SUM(BB46:BB48)</f>
        <v/>
      </c>
      <c r="BC49" s="133">
        <f>SUM(BC46:BC48)</f>
        <v/>
      </c>
      <c r="BD49" s="133">
        <f>SUM(BD46:BD48)</f>
        <v/>
      </c>
      <c r="BE49" s="133">
        <f>SUM(BE46:BE48)</f>
        <v/>
      </c>
      <c r="BF49" s="133">
        <f>SUM(BF46:BF48)</f>
        <v/>
      </c>
      <c r="BG49" s="133">
        <f>SUM(BG46:BG48)</f>
        <v/>
      </c>
      <c r="BH49" s="133">
        <f>SUM(BH46:BH48)</f>
        <v/>
      </c>
      <c r="BI49" s="133">
        <f>SUM(BI46:BI48)</f>
        <v/>
      </c>
    </row>
    <row r="50">
      <c r="A50" s="207" t="inlineStr">
        <is>
          <t>Cash Position</t>
        </is>
      </c>
      <c r="B50" s="205">
        <f>B46+B32</f>
        <v/>
      </c>
      <c r="C50" s="205">
        <f>B50+C46+C32</f>
        <v/>
      </c>
      <c r="D50" s="205">
        <f>C50+D46+D32</f>
        <v/>
      </c>
      <c r="E50" s="205">
        <f>D50+E46+E32</f>
        <v/>
      </c>
      <c r="F50" s="205">
        <f>E50+F49</f>
        <v/>
      </c>
      <c r="G50" s="205">
        <f>F50+G49</f>
        <v/>
      </c>
      <c r="H50" s="205">
        <f>G50+H49</f>
        <v/>
      </c>
      <c r="I50" s="205">
        <f>H50+I49</f>
        <v/>
      </c>
      <c r="J50" s="205">
        <f>I50+J49</f>
        <v/>
      </c>
      <c r="K50" s="205">
        <f>J50+K49</f>
        <v/>
      </c>
      <c r="L50" s="205">
        <f>K50+L49</f>
        <v/>
      </c>
      <c r="M50" s="205">
        <f>L50+M49</f>
        <v/>
      </c>
      <c r="N50" s="205">
        <f>M50+N49</f>
        <v/>
      </c>
      <c r="O50" s="205">
        <f>N50+O49</f>
        <v/>
      </c>
      <c r="P50" s="205">
        <f>O50+P49</f>
        <v/>
      </c>
      <c r="Q50" s="205">
        <f>P50+Q49</f>
        <v/>
      </c>
      <c r="R50" s="205">
        <f>Q50+R49</f>
        <v/>
      </c>
      <c r="S50" s="205">
        <f>R50+S49</f>
        <v/>
      </c>
      <c r="T50" s="205">
        <f>S50+T49</f>
        <v/>
      </c>
      <c r="U50" s="205">
        <f>T50+U49</f>
        <v/>
      </c>
      <c r="V50" s="205">
        <f>U50+V49</f>
        <v/>
      </c>
      <c r="W50" s="205">
        <f>V50+W49</f>
        <v/>
      </c>
      <c r="X50" s="205">
        <f>W50+X49</f>
        <v/>
      </c>
      <c r="Y50" s="205">
        <f>X50+Y49</f>
        <v/>
      </c>
      <c r="Z50" s="205">
        <f>Y50+Z49</f>
        <v/>
      </c>
      <c r="AA50" s="205">
        <f>Z50+AA49</f>
        <v/>
      </c>
      <c r="AB50" s="205">
        <f>AA50+AB49</f>
        <v/>
      </c>
      <c r="AC50" s="205">
        <f>AB50+AC49</f>
        <v/>
      </c>
      <c r="AD50" s="205">
        <f>AC50+AD49</f>
        <v/>
      </c>
      <c r="AE50" s="205">
        <f>AD50+AE49</f>
        <v/>
      </c>
      <c r="AF50" s="205">
        <f>AE50+AF49</f>
        <v/>
      </c>
      <c r="AG50" s="205">
        <f>AF50+AG49</f>
        <v/>
      </c>
      <c r="AH50" s="205">
        <f>AG50+AH49</f>
        <v/>
      </c>
      <c r="AI50" s="205">
        <f>AH50+AI49</f>
        <v/>
      </c>
      <c r="AJ50" s="205">
        <f>AI50+AJ49</f>
        <v/>
      </c>
      <c r="AK50" s="205">
        <f>AJ50+AK49</f>
        <v/>
      </c>
      <c r="AL50" s="205">
        <f>AK50+AL49</f>
        <v/>
      </c>
      <c r="AM50" s="205">
        <f>AL50+AM49</f>
        <v/>
      </c>
      <c r="AN50" s="205">
        <f>AM50+AN49</f>
        <v/>
      </c>
      <c r="AO50" s="205">
        <f>AN50+AO49</f>
        <v/>
      </c>
      <c r="AP50" s="205">
        <f>AO50+AP49</f>
        <v/>
      </c>
      <c r="AQ50" s="205">
        <f>AP50+AQ49</f>
        <v/>
      </c>
      <c r="AR50" s="205">
        <f>AQ50+AR49</f>
        <v/>
      </c>
      <c r="AS50" s="205">
        <f>AR50+AS49</f>
        <v/>
      </c>
      <c r="AT50" s="205">
        <f>AS50+AT49</f>
        <v/>
      </c>
      <c r="AU50" s="205">
        <f>AT50+AU49</f>
        <v/>
      </c>
      <c r="AV50" s="205">
        <f>AU50+AV49</f>
        <v/>
      </c>
      <c r="AW50" s="205">
        <f>AV50+AW49</f>
        <v/>
      </c>
      <c r="AX50" s="205">
        <f>AW50+AX49</f>
        <v/>
      </c>
      <c r="AY50" s="205">
        <f>AX50+AY49</f>
        <v/>
      </c>
      <c r="AZ50" s="205">
        <f>AY50+AZ49</f>
        <v/>
      </c>
      <c r="BA50" s="205">
        <f>AZ50+BA49</f>
        <v/>
      </c>
      <c r="BB50" s="205">
        <f>BA50+BB49</f>
        <v/>
      </c>
      <c r="BC50" s="205">
        <f>BB50+BC49</f>
        <v/>
      </c>
      <c r="BD50" s="205">
        <f>BC50+BD49</f>
        <v/>
      </c>
      <c r="BE50" s="205">
        <f>BD50+BE49</f>
        <v/>
      </c>
      <c r="BF50" s="205">
        <f>BE50+BF49</f>
        <v/>
      </c>
      <c r="BG50" s="205">
        <f>BF50+BG49</f>
        <v/>
      </c>
      <c r="BH50" s="205">
        <f>BG50+BH49</f>
        <v/>
      </c>
      <c r="BI50" s="205">
        <f>BH50+BI49</f>
        <v/>
      </c>
    </row>
    <row r="51">
      <c r="A51" s="208" t="n"/>
      <c r="B51" s="194" t="n"/>
      <c r="C51" s="194" t="n"/>
      <c r="D51" s="194" t="n"/>
      <c r="E51" s="194" t="n"/>
      <c r="F51" s="194" t="n"/>
      <c r="G51" s="194" t="n"/>
      <c r="H51" s="194" t="n"/>
      <c r="I51" s="194" t="n"/>
      <c r="J51" s="194" t="n"/>
      <c r="K51" s="194" t="n"/>
      <c r="L51" s="194" t="n"/>
      <c r="M51" s="194" t="n"/>
      <c r="N51" s="194" t="n"/>
      <c r="O51" s="194" t="n"/>
      <c r="P51" s="194" t="n"/>
      <c r="Q51" s="194" t="n"/>
      <c r="R51" s="194" t="n"/>
      <c r="S51" s="194" t="n"/>
      <c r="T51" s="194" t="n"/>
      <c r="U51" s="194" t="n"/>
      <c r="V51" s="194" t="n"/>
      <c r="W51" s="194" t="n"/>
      <c r="X51" s="194" t="n"/>
      <c r="Y51" s="194" t="n"/>
      <c r="Z51" s="194" t="n"/>
      <c r="AA51" s="194" t="n"/>
      <c r="AB51" s="194" t="n"/>
      <c r="AC51" s="194" t="n"/>
      <c r="AD51" s="194" t="n"/>
      <c r="AE51" s="194" t="n"/>
      <c r="AF51" s="194" t="n"/>
      <c r="AG51" s="194" t="n"/>
      <c r="AH51" s="194" t="n"/>
      <c r="AI51" s="194" t="n"/>
      <c r="AJ51" s="194" t="n"/>
      <c r="AK51" s="194" t="n"/>
      <c r="AL51" s="194" t="n"/>
      <c r="AM51" s="194" t="n"/>
      <c r="AN51" s="194" t="n"/>
      <c r="AO51" s="194" t="n"/>
      <c r="AP51" s="194" t="n"/>
      <c r="AQ51" s="194" t="n"/>
      <c r="AR51" s="194" t="n"/>
      <c r="AS51" s="194" t="n"/>
      <c r="AT51" s="194" t="n"/>
      <c r="AU51" s="194" t="n"/>
      <c r="AV51" s="194" t="n"/>
      <c r="AW51" s="194" t="n"/>
      <c r="AX51" s="194" t="n"/>
      <c r="AY51" s="194" t="n"/>
      <c r="AZ51" s="194" t="n"/>
      <c r="BA51" s="194" t="n"/>
      <c r="BB51" s="194" t="n"/>
      <c r="BC51" s="194" t="n"/>
      <c r="BD51" s="194" t="n"/>
      <c r="BE51" s="194" t="n"/>
      <c r="BF51" s="194" t="n"/>
      <c r="BG51" s="194" t="n"/>
      <c r="BH51" s="194" t="n"/>
      <c r="BI51" s="194" t="n"/>
    </row>
    <row r="52">
      <c r="A52" s="36" t="inlineStr">
        <is>
          <t>Annual Summaries</t>
        </is>
      </c>
      <c r="B52" s="151" t="n">
        <v>2025</v>
      </c>
      <c r="C52" s="151" t="n">
        <v>2026</v>
      </c>
      <c r="D52" s="151" t="n">
        <v>2027</v>
      </c>
      <c r="E52" s="151" t="n">
        <v>2028</v>
      </c>
      <c r="F52" s="152" t="n">
        <v>2029</v>
      </c>
    </row>
    <row r="53">
      <c r="A53" s="38" t="inlineStr">
        <is>
          <t>Revenue</t>
        </is>
      </c>
      <c r="B53" s="133">
        <f>sum(B43:M43)</f>
        <v/>
      </c>
      <c r="C53" s="133">
        <f>sum(N43:Y43)</f>
        <v/>
      </c>
      <c r="D53" s="133">
        <f>sum(Z43:AK43)</f>
        <v/>
      </c>
      <c r="E53" s="133">
        <f>sum(AL43:AW43)</f>
        <v/>
      </c>
      <c r="F53" s="135">
        <f>sum(AV43:BI43)</f>
        <v/>
      </c>
    </row>
    <row r="54">
      <c r="A54" s="38" t="inlineStr">
        <is>
          <t>Capital Activities</t>
        </is>
      </c>
      <c r="B54" s="133">
        <f>sum(B32:M32)</f>
        <v/>
      </c>
      <c r="C54" s="133">
        <f>sum(N32:Y32)</f>
        <v/>
      </c>
      <c r="D54" s="133">
        <f>sum(Z32:AK32)</f>
        <v/>
      </c>
      <c r="E54" s="133">
        <f>sum(AL32:AW32)</f>
        <v/>
      </c>
      <c r="F54" s="135">
        <f>sum(AV32:BI32)</f>
        <v/>
      </c>
    </row>
    <row r="55">
      <c r="A55" s="38" t="inlineStr">
        <is>
          <t>Personnel Stipends</t>
        </is>
      </c>
      <c r="B55" s="133">
        <f>-sum(B10:M10)</f>
        <v/>
      </c>
      <c r="C55" s="133">
        <f>-sum(N10:Y10)</f>
        <v/>
      </c>
      <c r="D55" s="133">
        <f>-sum(Z10:AK10)</f>
        <v/>
      </c>
      <c r="E55" s="133">
        <f>-sum(AL10:AW10)</f>
        <v/>
      </c>
      <c r="F55" s="135">
        <f>-sum(AV10:BI10)</f>
        <v/>
      </c>
    </row>
    <row r="56">
      <c r="A56" s="38" t="inlineStr">
        <is>
          <t>Expenditures</t>
        </is>
      </c>
      <c r="B56" s="133">
        <f>-sum(B26:M26)</f>
        <v/>
      </c>
      <c r="C56" s="133">
        <f>-sum(N26:Y26)</f>
        <v/>
      </c>
      <c r="D56" s="133">
        <f>-sum(Z26:AK26)</f>
        <v/>
      </c>
      <c r="E56" s="133">
        <f>-sum(AL26:AW26)</f>
        <v/>
      </c>
      <c r="F56" s="135">
        <f>-sum(AV26:BI26)</f>
        <v/>
      </c>
    </row>
    <row r="57">
      <c r="A57" s="45" t="inlineStr">
        <is>
          <t>Cash Position (EOY)</t>
        </is>
      </c>
      <c r="B57" s="139">
        <f>M50</f>
        <v/>
      </c>
      <c r="C57" s="139">
        <f>Y50</f>
        <v/>
      </c>
      <c r="D57" s="139">
        <f>AK50</f>
        <v/>
      </c>
      <c r="E57" s="139">
        <f>AW50</f>
        <v/>
      </c>
      <c r="F57" s="177">
        <f>BI50</f>
        <v/>
      </c>
    </row>
    <row r="60">
      <c r="A60" s="191" t="n"/>
      <c r="B60" s="191" t="n"/>
      <c r="C60" s="191" t="n"/>
    </row>
  </sheetData>
  <conditionalFormatting sqref="B45:BI46">
    <cfRule type="cellIs" priority="1" operator="greaterThan" dxfId="0">
      <formula>0</formula>
    </cfRule>
    <cfRule type="cellIs" priority="2" operator="lessThan" dxfId="1">
      <formula>0</formula>
    </cfRule>
  </conditionalFormatting>
  <conditionalFormatting sqref="B47:BI50">
    <cfRule type="cellIs" priority="3" operator="greaterThan" dxfId="0">
      <formula>0</formula>
    </cfRule>
    <cfRule type="cellIs" priority="4" operator="lessThan" dxfId="1">
      <formula>0</formula>
    </cfRule>
  </conditionalFormatting>
  <printOptions horizontalCentered="1" gridLines="1"/>
  <pageMargins left="0.7" right="0.7" top="0.75" bottom="0.75" header="0" footer="0"/>
  <pageSetup orientation="landscape" pageOrder="overThenDown" cellComments="atEnd"/>
  <rowBreaks count="2" manualBreakCount="2">
    <brk id="0" min="0" max="16383" man="1"/>
    <brk id="5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BI7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RAF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f>Personnel!D3</f>
        <v/>
      </c>
      <c r="M3" s="133">
        <f>Personnel!D3</f>
        <v/>
      </c>
      <c r="N3" s="133">
        <f>Personnel!D3</f>
        <v/>
      </c>
      <c r="O3" s="133">
        <f>Personnel!D3</f>
        <v/>
      </c>
      <c r="P3" s="133">
        <f>Personnel!D3</f>
        <v/>
      </c>
      <c r="Q3" s="133">
        <f>Personnel!D3</f>
        <v/>
      </c>
      <c r="R3" s="133">
        <f>Personnel!D3</f>
        <v/>
      </c>
      <c r="S3" s="133">
        <f>Personnel!D3</f>
        <v/>
      </c>
      <c r="T3" s="133">
        <f>Personnel!D3</f>
        <v/>
      </c>
      <c r="U3" s="133">
        <f>Personnel!D3</f>
        <v/>
      </c>
      <c r="V3" s="133">
        <f>Personnel!D3</f>
        <v/>
      </c>
      <c r="W3" s="133">
        <f>Personnel!D3</f>
        <v/>
      </c>
      <c r="X3" s="133">
        <f>Personnel!D3</f>
        <v/>
      </c>
      <c r="Y3" s="133">
        <f>Personnel!D3</f>
        <v/>
      </c>
      <c r="Z3" s="133">
        <f>Personnel!D3</f>
        <v/>
      </c>
      <c r="AA3" s="133">
        <f>Personnel!D3</f>
        <v/>
      </c>
      <c r="AB3" s="133">
        <f>Personnel!D3</f>
        <v/>
      </c>
      <c r="AC3" s="133">
        <f>Personnel!D3</f>
        <v/>
      </c>
      <c r="AD3" s="133">
        <f>Personnel!D3</f>
        <v/>
      </c>
      <c r="AE3" s="133">
        <f>Personnel!D3</f>
        <v/>
      </c>
      <c r="AF3" s="133">
        <f>Personnel!$E$3*1.25</f>
        <v/>
      </c>
      <c r="AG3" s="133">
        <f>Personnel!$E$3*1.25</f>
        <v/>
      </c>
      <c r="AH3" s="133">
        <f>Personnel!$E$3*1.25</f>
        <v/>
      </c>
      <c r="AI3" s="133">
        <f>Personnel!$E$3*1.25</f>
        <v/>
      </c>
      <c r="AJ3" s="133">
        <f>Personnel!$E$3*1.25</f>
        <v/>
      </c>
      <c r="AK3" s="133">
        <f>Personnel!$E$3*1.25</f>
        <v/>
      </c>
      <c r="AL3" s="133">
        <f>Personnel!D3*2</f>
        <v/>
      </c>
      <c r="AM3" s="133">
        <f>Personnel!D3*2</f>
        <v/>
      </c>
      <c r="AN3" s="133">
        <f>Personnel!D3*2</f>
        <v/>
      </c>
      <c r="AO3" s="133">
        <f>Personnel!D3*2</f>
        <v/>
      </c>
      <c r="AP3" s="133">
        <f>Personnel!D3*2</f>
        <v/>
      </c>
      <c r="AQ3" s="133">
        <f>Personnel!D3*2</f>
        <v/>
      </c>
      <c r="AR3" s="133">
        <f>Personnel!D3*2</f>
        <v/>
      </c>
      <c r="AS3" s="133">
        <f>Personnel!D3*2</f>
        <v/>
      </c>
      <c r="AT3" s="133">
        <f>Personnel!D3*2</f>
        <v/>
      </c>
      <c r="AU3" s="133">
        <f>Personnel!D3*2</f>
        <v/>
      </c>
      <c r="AV3" s="133">
        <f>Personnel!D3*2</f>
        <v/>
      </c>
      <c r="AW3" s="133">
        <f>Personnel!D3*2</f>
        <v/>
      </c>
      <c r="AX3" s="133">
        <f>Personnel!D3*2</f>
        <v/>
      </c>
      <c r="AY3" s="133">
        <f>Personnel!D3*2</f>
        <v/>
      </c>
      <c r="AZ3" s="133">
        <f>Personnel!D3*2</f>
        <v/>
      </c>
      <c r="BA3" s="133">
        <f>Personnel!D3*2</f>
        <v/>
      </c>
      <c r="BB3" s="133">
        <f>Personnel!D3*2</f>
        <v/>
      </c>
      <c r="BC3" s="133">
        <f>Personnel!D3*2</f>
        <v/>
      </c>
      <c r="BD3" s="133">
        <f>Personnel!D3*2</f>
        <v/>
      </c>
      <c r="BE3" s="133">
        <f>Personnel!D3*2</f>
        <v/>
      </c>
      <c r="BF3" s="133">
        <f>Personnel!D3*2</f>
        <v/>
      </c>
      <c r="BG3" s="133">
        <f>Personnel!D3*2</f>
        <v/>
      </c>
      <c r="BH3" s="133">
        <f>Personnel!D3*2</f>
        <v/>
      </c>
      <c r="BI3" s="133">
        <f>Personnel!D3*2</f>
        <v/>
      </c>
    </row>
    <row r="4">
      <c r="A4" s="38" t="inlineStr">
        <is>
          <t>Brand Director</t>
        </is>
      </c>
      <c r="B4" s="133" t="n">
        <v>0</v>
      </c>
      <c r="C4" s="133" t="n">
        <v>0</v>
      </c>
      <c r="D4" s="133" t="n">
        <v>0</v>
      </c>
      <c r="E4" s="133" t="n">
        <v>0</v>
      </c>
      <c r="F4" s="133" t="n">
        <v>0</v>
      </c>
      <c r="G4" s="133" t="n">
        <v>0</v>
      </c>
      <c r="H4" s="133" t="n">
        <v>0</v>
      </c>
      <c r="I4" s="133" t="n">
        <v>0</v>
      </c>
      <c r="J4" s="133" t="n">
        <v>0</v>
      </c>
      <c r="K4" s="133">
        <f>Personnel!D4</f>
        <v/>
      </c>
      <c r="L4" s="133">
        <f>Personnel!D4</f>
        <v/>
      </c>
      <c r="M4" s="133">
        <f>Personnel!D4</f>
        <v/>
      </c>
      <c r="N4" s="133">
        <f>Personnel!D4</f>
        <v/>
      </c>
      <c r="O4" s="133">
        <f>Personnel!D4</f>
        <v/>
      </c>
      <c r="P4" s="133">
        <f>Personnel!D4</f>
        <v/>
      </c>
      <c r="Q4" s="133">
        <f>Personnel!D4</f>
        <v/>
      </c>
      <c r="R4" s="133">
        <f>Personnel!D4</f>
        <v/>
      </c>
      <c r="S4" s="133">
        <f>Personnel!D4</f>
        <v/>
      </c>
      <c r="T4" s="133">
        <f>Personnel!D4</f>
        <v/>
      </c>
      <c r="U4" s="133">
        <f>Personnel!D4</f>
        <v/>
      </c>
      <c r="V4" s="133">
        <f>Personnel!D4</f>
        <v/>
      </c>
      <c r="W4" s="133">
        <f>Personnel!D4</f>
        <v/>
      </c>
      <c r="X4" s="133">
        <f>Personnel!D4</f>
        <v/>
      </c>
      <c r="Y4" s="133">
        <f>Personnel!D4</f>
        <v/>
      </c>
      <c r="Z4" s="133">
        <f>Personnel!D4</f>
        <v/>
      </c>
      <c r="AA4" s="133">
        <f>Personnel!D4</f>
        <v/>
      </c>
      <c r="AB4" s="133">
        <f>Personnel!D4</f>
        <v/>
      </c>
      <c r="AC4" s="133">
        <f>Personnel!D4</f>
        <v/>
      </c>
      <c r="AD4" s="133">
        <f>Personnel!D4</f>
        <v/>
      </c>
      <c r="AE4" s="133">
        <f>Personnel!D4</f>
        <v/>
      </c>
      <c r="AF4" s="133">
        <f>Personnel!$E$4*1.25</f>
        <v/>
      </c>
      <c r="AG4" s="133">
        <f>Personnel!$E$4*1.25</f>
        <v/>
      </c>
      <c r="AH4" s="133">
        <f>Personnel!$E$4*1.25</f>
        <v/>
      </c>
      <c r="AI4" s="133">
        <f>Personnel!$E$4*1.25</f>
        <v/>
      </c>
      <c r="AJ4" s="133">
        <f>Personnel!$E$4*1.25</f>
        <v/>
      </c>
      <c r="AK4" s="133">
        <f>Personnel!$E$4*1.25</f>
        <v/>
      </c>
      <c r="AL4" s="133">
        <f>Personnel!$E$4*1.25</f>
        <v/>
      </c>
      <c r="AM4" s="133">
        <f>Personnel!D4*2</f>
        <v/>
      </c>
      <c r="AN4" s="133">
        <f>Personnel!D4*2</f>
        <v/>
      </c>
      <c r="AO4" s="133">
        <f>Personnel!D4*2</f>
        <v/>
      </c>
      <c r="AP4" s="133">
        <f>Personnel!D4*2</f>
        <v/>
      </c>
      <c r="AQ4" s="133">
        <f>Personnel!D4*2</f>
        <v/>
      </c>
      <c r="AR4" s="133">
        <f>Personnel!D4*2</f>
        <v/>
      </c>
      <c r="AS4" s="133">
        <f>Personnel!D4*2</f>
        <v/>
      </c>
      <c r="AT4" s="133">
        <f>Personnel!D4*2</f>
        <v/>
      </c>
      <c r="AU4" s="133">
        <f>Personnel!D4*2</f>
        <v/>
      </c>
      <c r="AV4" s="133">
        <f>Personnel!D4*2</f>
        <v/>
      </c>
      <c r="AW4" s="133">
        <f>Personnel!D4*2</f>
        <v/>
      </c>
      <c r="AX4" s="133">
        <f>Personnel!D4*2</f>
        <v/>
      </c>
      <c r="AY4" s="133">
        <f>Personnel!D4*2</f>
        <v/>
      </c>
      <c r="AZ4" s="133">
        <f>Personnel!D4*2</f>
        <v/>
      </c>
      <c r="BA4" s="133">
        <f>Personnel!D4*2</f>
        <v/>
      </c>
      <c r="BB4" s="133">
        <f>Personnel!D4*2</f>
        <v/>
      </c>
      <c r="BC4" s="133">
        <f>Personnel!D4*2</f>
        <v/>
      </c>
      <c r="BD4" s="133">
        <f>Personnel!D4*2</f>
        <v/>
      </c>
      <c r="BE4" s="133">
        <f>Personnel!D4*2</f>
        <v/>
      </c>
      <c r="BF4" s="133">
        <f>Personnel!D4*2</f>
        <v/>
      </c>
      <c r="BG4" s="133">
        <f>Personnel!D4*2</f>
        <v/>
      </c>
      <c r="BH4" s="133">
        <f>Personnel!D4*2</f>
        <v/>
      </c>
      <c r="BI4" s="133">
        <f>Personnel!D4*2</f>
        <v/>
      </c>
    </row>
    <row r="5">
      <c r="A5" s="38" t="inlineStr">
        <is>
          <t>Culture / Ops Director</t>
        </is>
      </c>
      <c r="B5" s="133" t="n">
        <v>0</v>
      </c>
      <c r="C5" s="133" t="n">
        <v>0</v>
      </c>
      <c r="D5" s="133" t="n">
        <v>0</v>
      </c>
      <c r="E5" s="133" t="n">
        <v>0</v>
      </c>
      <c r="F5" s="133" t="n">
        <v>0</v>
      </c>
      <c r="G5" s="133" t="n">
        <v>0</v>
      </c>
      <c r="H5" s="133" t="n">
        <v>0</v>
      </c>
      <c r="I5" s="133" t="n">
        <v>0</v>
      </c>
      <c r="J5" s="117" t="n">
        <v>0</v>
      </c>
      <c r="K5" s="133">
        <f>Personnel!D5</f>
        <v/>
      </c>
      <c r="L5" s="133">
        <f>Personnel!D5</f>
        <v/>
      </c>
      <c r="M5" s="133">
        <f>Personnel!D5</f>
        <v/>
      </c>
      <c r="N5" s="133">
        <f>Personnel!D5</f>
        <v/>
      </c>
      <c r="O5" s="133">
        <f>Personnel!D5</f>
        <v/>
      </c>
      <c r="P5" s="133">
        <f>Personnel!D5</f>
        <v/>
      </c>
      <c r="Q5" s="133">
        <f>Personnel!D5</f>
        <v/>
      </c>
      <c r="R5" s="133">
        <f>Personnel!D5</f>
        <v/>
      </c>
      <c r="S5" s="133">
        <f>Personnel!D5</f>
        <v/>
      </c>
      <c r="T5" s="133">
        <f>Personnel!D5</f>
        <v/>
      </c>
      <c r="U5" s="133">
        <f>Personnel!D5</f>
        <v/>
      </c>
      <c r="V5" s="133">
        <f>Personnel!D5</f>
        <v/>
      </c>
      <c r="W5" s="133">
        <f>Personnel!D5</f>
        <v/>
      </c>
      <c r="X5" s="133">
        <f>Personnel!D5</f>
        <v/>
      </c>
      <c r="Y5" s="133">
        <f>Personnel!D5</f>
        <v/>
      </c>
      <c r="Z5" s="133">
        <f>Personnel!D5</f>
        <v/>
      </c>
      <c r="AA5" s="133">
        <f>Personnel!D5</f>
        <v/>
      </c>
      <c r="AB5" s="133">
        <f>Personnel!D5</f>
        <v/>
      </c>
      <c r="AC5" s="133">
        <f>Personnel!D5</f>
        <v/>
      </c>
      <c r="AD5" s="133">
        <f>Personnel!D5</f>
        <v/>
      </c>
      <c r="AE5" s="133">
        <f>Personnel!D5</f>
        <v/>
      </c>
      <c r="AF5" s="133">
        <f>Personnel!$E$5*1.25</f>
        <v/>
      </c>
      <c r="AG5" s="133">
        <f>Personnel!$E$5*1.25</f>
        <v/>
      </c>
      <c r="AH5" s="133">
        <f>Personnel!$E$5*1.25</f>
        <v/>
      </c>
      <c r="AI5" s="133">
        <f>Personnel!$E$5*1.25</f>
        <v/>
      </c>
      <c r="AJ5" s="133">
        <f>Personnel!$E$5*1.25</f>
        <v/>
      </c>
      <c r="AK5" s="133">
        <f>Personnel!$E$5*1.25</f>
        <v/>
      </c>
      <c r="AL5" s="133">
        <f>Personnel!D5*2</f>
        <v/>
      </c>
      <c r="AM5" s="133">
        <f>Personnel!D5*2</f>
        <v/>
      </c>
      <c r="AN5" s="133">
        <f>Personnel!D5*2</f>
        <v/>
      </c>
      <c r="AO5" s="133">
        <f>Personnel!D5*2</f>
        <v/>
      </c>
      <c r="AP5" s="133">
        <f>Personnel!D5*2</f>
        <v/>
      </c>
      <c r="AQ5" s="133">
        <f>Personnel!D5*2</f>
        <v/>
      </c>
      <c r="AR5" s="133">
        <f>Personnel!D5*2</f>
        <v/>
      </c>
      <c r="AS5" s="133">
        <f>Personnel!D5*2</f>
        <v/>
      </c>
      <c r="AT5" s="133">
        <f>Personnel!D5*2</f>
        <v/>
      </c>
      <c r="AU5" s="133">
        <f>Personnel!D5*2</f>
        <v/>
      </c>
      <c r="AV5" s="133">
        <f>Personnel!D5*2</f>
        <v/>
      </c>
      <c r="AW5" s="133">
        <f>Personnel!D5*2</f>
        <v/>
      </c>
      <c r="AX5" s="133">
        <f>Personnel!D5*2</f>
        <v/>
      </c>
      <c r="AY5" s="133">
        <f>Personnel!D5*2</f>
        <v/>
      </c>
      <c r="AZ5" s="133">
        <f>Personnel!D5*2</f>
        <v/>
      </c>
      <c r="BA5" s="133">
        <f>Personnel!D5*2</f>
        <v/>
      </c>
      <c r="BB5" s="133">
        <f>Personnel!D5*2</f>
        <v/>
      </c>
      <c r="BC5" s="133">
        <f>Personnel!D5*2</f>
        <v/>
      </c>
      <c r="BD5" s="133">
        <f>Personnel!D5*2</f>
        <v/>
      </c>
      <c r="BE5" s="133">
        <f>Personnel!D5*2</f>
        <v/>
      </c>
      <c r="BF5" s="133">
        <f>Personnel!D5*2</f>
        <v/>
      </c>
      <c r="BG5" s="133">
        <f>Personnel!D5*2</f>
        <v/>
      </c>
      <c r="BH5" s="133">
        <f>Personnel!D5*2</f>
        <v/>
      </c>
      <c r="BI5" s="133">
        <f>Personnel!D5*2</f>
        <v/>
      </c>
    </row>
    <row r="6">
      <c r="A6" s="38" t="inlineStr">
        <is>
          <t>Prospecting Director</t>
        </is>
      </c>
      <c r="B6" s="133" t="n">
        <v>0</v>
      </c>
      <c r="C6" s="133" t="n">
        <v>0</v>
      </c>
      <c r="D6" s="133" t="n">
        <v>0</v>
      </c>
      <c r="E6" s="133" t="n">
        <v>0</v>
      </c>
      <c r="F6" s="133" t="n">
        <v>0</v>
      </c>
      <c r="G6" s="133" t="n">
        <v>0</v>
      </c>
      <c r="H6" s="133" t="n">
        <v>0</v>
      </c>
      <c r="I6" s="133" t="n">
        <v>0</v>
      </c>
      <c r="J6" s="133" t="n">
        <v>0</v>
      </c>
      <c r="K6" s="133">
        <f>Personnel!D6</f>
        <v/>
      </c>
      <c r="L6" s="133">
        <f>Personnel!D6</f>
        <v/>
      </c>
      <c r="M6" s="133">
        <f>Personnel!D6</f>
        <v/>
      </c>
      <c r="N6" s="133">
        <f>Personnel!D6</f>
        <v/>
      </c>
      <c r="O6" s="133">
        <f>Personnel!D6</f>
        <v/>
      </c>
      <c r="P6" s="133">
        <f>Personnel!D6</f>
        <v/>
      </c>
      <c r="Q6" s="133">
        <f>Personnel!D6</f>
        <v/>
      </c>
      <c r="R6" s="133">
        <f>Personnel!D6</f>
        <v/>
      </c>
      <c r="S6" s="133">
        <f>Personnel!D6</f>
        <v/>
      </c>
      <c r="T6" s="133">
        <f>Personnel!D6</f>
        <v/>
      </c>
      <c r="U6" s="133">
        <f>Personnel!D6</f>
        <v/>
      </c>
      <c r="V6" s="133">
        <f>Personnel!D6</f>
        <v/>
      </c>
      <c r="W6" s="133">
        <f>Personnel!D6</f>
        <v/>
      </c>
      <c r="X6" s="133">
        <f>Personnel!D6</f>
        <v/>
      </c>
      <c r="Y6" s="133">
        <f>Personnel!D6</f>
        <v/>
      </c>
      <c r="Z6" s="133">
        <f>Personnel!D6</f>
        <v/>
      </c>
      <c r="AA6" s="133">
        <f>Personnel!D6</f>
        <v/>
      </c>
      <c r="AB6" s="133">
        <f>Personnel!D6</f>
        <v/>
      </c>
      <c r="AC6" s="133">
        <f>Personnel!D6</f>
        <v/>
      </c>
      <c r="AD6" s="133">
        <f>Personnel!D6</f>
        <v/>
      </c>
      <c r="AE6" s="133">
        <f>Personnel!D6</f>
        <v/>
      </c>
      <c r="AF6" s="133">
        <f>Personnel!$E$6*1.25</f>
        <v/>
      </c>
      <c r="AG6" s="133">
        <f>Personnel!$E$6*1.25</f>
        <v/>
      </c>
      <c r="AH6" s="133">
        <f>Personnel!$E$6*1.25</f>
        <v/>
      </c>
      <c r="AI6" s="133">
        <f>Personnel!$E$6*1.25</f>
        <v/>
      </c>
      <c r="AJ6" s="133">
        <f>Personnel!$E$6*1.25</f>
        <v/>
      </c>
      <c r="AK6" s="133">
        <f>Personnel!$E$6*1.25</f>
        <v/>
      </c>
      <c r="AL6" s="133">
        <f>Personnel!D6*2</f>
        <v/>
      </c>
      <c r="AM6" s="133">
        <f>Personnel!D6*2</f>
        <v/>
      </c>
      <c r="AN6" s="133">
        <f>Personnel!D6*2</f>
        <v/>
      </c>
      <c r="AO6" s="133">
        <f>Personnel!D6*2</f>
        <v/>
      </c>
      <c r="AP6" s="133">
        <f>Personnel!D6*2</f>
        <v/>
      </c>
      <c r="AQ6" s="133">
        <f>Personnel!D6*2</f>
        <v/>
      </c>
      <c r="AR6" s="133">
        <f>Personnel!D6*2</f>
        <v/>
      </c>
      <c r="AS6" s="133">
        <f>Personnel!D6*2</f>
        <v/>
      </c>
      <c r="AT6" s="133">
        <f>Personnel!D6*2</f>
        <v/>
      </c>
      <c r="AU6" s="133">
        <f>Personnel!D6*2</f>
        <v/>
      </c>
      <c r="AV6" s="133">
        <f>Personnel!D6*2</f>
        <v/>
      </c>
      <c r="AW6" s="133">
        <f>Personnel!D6*2</f>
        <v/>
      </c>
      <c r="AX6" s="133">
        <f>Personnel!D6*2</f>
        <v/>
      </c>
      <c r="AY6" s="133">
        <f>Personnel!D6*2</f>
        <v/>
      </c>
      <c r="AZ6" s="133">
        <f>Personnel!D6*2</f>
        <v/>
      </c>
      <c r="BA6" s="133">
        <f>Personnel!D6*2</f>
        <v/>
      </c>
      <c r="BB6" s="133">
        <f>Personnel!D6*2</f>
        <v/>
      </c>
      <c r="BC6" s="133">
        <f>Personnel!D6*2</f>
        <v/>
      </c>
      <c r="BD6" s="133">
        <f>Personnel!D6*2</f>
        <v/>
      </c>
      <c r="BE6" s="133">
        <f>Personnel!D6*2</f>
        <v/>
      </c>
      <c r="BF6" s="133">
        <f>Personnel!D6*2</f>
        <v/>
      </c>
      <c r="BG6" s="133">
        <f>Personnel!D6*2</f>
        <v/>
      </c>
      <c r="BH6" s="133">
        <f>Personnel!D6*2</f>
        <v/>
      </c>
      <c r="BI6" s="133">
        <f>Personnel!D6*2</f>
        <v/>
      </c>
    </row>
    <row r="7">
      <c r="A7" s="38" t="inlineStr">
        <is>
          <t>Director - CFO</t>
        </is>
      </c>
      <c r="B7" s="133" t="n">
        <v>0</v>
      </c>
      <c r="C7" s="133" t="n">
        <v>0</v>
      </c>
      <c r="D7" s="133" t="n">
        <v>0</v>
      </c>
      <c r="E7" s="133" t="n">
        <v>0</v>
      </c>
      <c r="F7" s="133" t="n">
        <v>0</v>
      </c>
      <c r="G7" s="133" t="n">
        <v>0</v>
      </c>
      <c r="H7" s="133" t="n">
        <v>0</v>
      </c>
      <c r="I7" s="133" t="n">
        <v>0</v>
      </c>
      <c r="J7" s="133" t="n">
        <v>0</v>
      </c>
      <c r="K7" s="133" t="n">
        <v>0</v>
      </c>
      <c r="L7" s="133">
        <f>Personnel!D7</f>
        <v/>
      </c>
      <c r="M7" s="133">
        <f>Personnel!D7</f>
        <v/>
      </c>
      <c r="N7" s="133">
        <f>Personnel!D7</f>
        <v/>
      </c>
      <c r="O7" s="133">
        <f>Personnel!D7</f>
        <v/>
      </c>
      <c r="P7" s="133">
        <f>Personnel!D7</f>
        <v/>
      </c>
      <c r="Q7" s="133">
        <f>Personnel!D7</f>
        <v/>
      </c>
      <c r="R7" s="133">
        <f>Personnel!D7</f>
        <v/>
      </c>
      <c r="S7" s="133">
        <f>Personnel!D7</f>
        <v/>
      </c>
      <c r="T7" s="133">
        <f>Personnel!D7</f>
        <v/>
      </c>
      <c r="U7" s="133">
        <f>Personnel!D7</f>
        <v/>
      </c>
      <c r="V7" s="133">
        <f>Personnel!D7</f>
        <v/>
      </c>
      <c r="W7" s="133">
        <f>Personnel!D7</f>
        <v/>
      </c>
      <c r="X7" s="133">
        <f>Personnel!D7</f>
        <v/>
      </c>
      <c r="Y7" s="133">
        <f>Personnel!D7</f>
        <v/>
      </c>
      <c r="Z7" s="133">
        <f>Personnel!D7</f>
        <v/>
      </c>
      <c r="AA7" s="133">
        <f>Personnel!D7</f>
        <v/>
      </c>
      <c r="AB7" s="133">
        <f>Personnel!D7</f>
        <v/>
      </c>
      <c r="AC7" s="133">
        <f>Personnel!D7</f>
        <v/>
      </c>
      <c r="AD7" s="133">
        <f>Personnel!D7</f>
        <v/>
      </c>
      <c r="AE7" s="133">
        <f>Personnel!D7</f>
        <v/>
      </c>
      <c r="AF7" s="133">
        <f>Personnel!$E$7*1.25</f>
        <v/>
      </c>
      <c r="AG7" s="133">
        <f>Personnel!$E$7*1.25</f>
        <v/>
      </c>
      <c r="AH7" s="133">
        <f>Personnel!$E$7*1.25</f>
        <v/>
      </c>
      <c r="AI7" s="133">
        <f>Personnel!$E$7*1.25</f>
        <v/>
      </c>
      <c r="AJ7" s="133">
        <f>Personnel!$E$7*1.25</f>
        <v/>
      </c>
      <c r="AK7" s="133">
        <f>Personnel!$E$7*1.25</f>
        <v/>
      </c>
      <c r="AL7" s="133">
        <f>Personnel!D7*2</f>
        <v/>
      </c>
      <c r="AM7" s="133">
        <f>Personnel!D7*2</f>
        <v/>
      </c>
      <c r="AN7" s="133">
        <f>Personnel!D7*2</f>
        <v/>
      </c>
      <c r="AO7" s="133">
        <f>Personnel!D7*2</f>
        <v/>
      </c>
      <c r="AP7" s="133">
        <f>Personnel!D7*2</f>
        <v/>
      </c>
      <c r="AQ7" s="133">
        <f>Personnel!D7*2</f>
        <v/>
      </c>
      <c r="AR7" s="133">
        <f>Personnel!D7*2</f>
        <v/>
      </c>
      <c r="AS7" s="133">
        <f>Personnel!D7*2</f>
        <v/>
      </c>
      <c r="AT7" s="133">
        <f>Personnel!D7*2</f>
        <v/>
      </c>
      <c r="AU7" s="133">
        <f>Personnel!D7*2</f>
        <v/>
      </c>
      <c r="AV7" s="133">
        <f>Personnel!D7*2</f>
        <v/>
      </c>
      <c r="AW7" s="133">
        <f>Personnel!D7*2</f>
        <v/>
      </c>
      <c r="AX7" s="133">
        <f>Personnel!D7*2</f>
        <v/>
      </c>
      <c r="AY7" s="133">
        <f>Personnel!D7*2</f>
        <v/>
      </c>
      <c r="AZ7" s="133">
        <f>Personnel!D7*2</f>
        <v/>
      </c>
      <c r="BA7" s="133">
        <f>Personnel!D7*2</f>
        <v/>
      </c>
      <c r="BB7" s="133">
        <f>Personnel!D7*2</f>
        <v/>
      </c>
      <c r="BC7" s="133">
        <f>Personnel!D7*2</f>
        <v/>
      </c>
      <c r="BD7" s="133">
        <f>Personnel!D7*2</f>
        <v/>
      </c>
      <c r="BE7" s="133">
        <f>Personnel!D7*2</f>
        <v/>
      </c>
      <c r="BF7" s="133">
        <f>Personnel!D7*2</f>
        <v/>
      </c>
      <c r="BG7" s="133">
        <f>Personnel!D7*2</f>
        <v/>
      </c>
      <c r="BH7" s="133">
        <f>Personnel!D7*2</f>
        <v/>
      </c>
      <c r="BI7" s="133">
        <f>Personnel!D7*2</f>
        <v/>
      </c>
    </row>
    <row r="8">
      <c r="A8" s="38" t="inlineStr">
        <is>
          <t>Director - QP</t>
        </is>
      </c>
      <c r="B8" s="133" t="n">
        <v>0</v>
      </c>
      <c r="C8" s="133" t="n">
        <v>0</v>
      </c>
      <c r="D8" s="133" t="n">
        <v>0</v>
      </c>
      <c r="E8" s="133" t="n">
        <v>0</v>
      </c>
      <c r="F8" s="133" t="n">
        <v>0</v>
      </c>
      <c r="G8" s="133" t="n">
        <v>0</v>
      </c>
      <c r="H8" s="133" t="n">
        <v>0</v>
      </c>
      <c r="I8" s="133" t="n">
        <v>0</v>
      </c>
      <c r="J8" s="133" t="n">
        <v>0</v>
      </c>
      <c r="K8" s="133" t="n">
        <v>0</v>
      </c>
      <c r="L8" s="133">
        <f>Personnel!D8</f>
        <v/>
      </c>
      <c r="M8" s="133">
        <f>Personnel!D8</f>
        <v/>
      </c>
      <c r="N8" s="133">
        <f>Personnel!D8</f>
        <v/>
      </c>
      <c r="O8" s="133">
        <f>Personnel!D8</f>
        <v/>
      </c>
      <c r="P8" s="133">
        <f>Personnel!D8</f>
        <v/>
      </c>
      <c r="Q8" s="133">
        <f>Personnel!D8</f>
        <v/>
      </c>
      <c r="R8" s="133">
        <f>Personnel!D8</f>
        <v/>
      </c>
      <c r="S8" s="133">
        <f>Personnel!D8</f>
        <v/>
      </c>
      <c r="T8" s="133">
        <f>Personnel!D8</f>
        <v/>
      </c>
      <c r="U8" s="133">
        <f>Personnel!D8</f>
        <v/>
      </c>
      <c r="V8" s="133">
        <f>Personnel!D8</f>
        <v/>
      </c>
      <c r="W8" s="133">
        <f>Personnel!D8</f>
        <v/>
      </c>
      <c r="X8" s="133">
        <f>Personnel!D8</f>
        <v/>
      </c>
      <c r="Y8" s="133">
        <f>Personnel!D8</f>
        <v/>
      </c>
      <c r="Z8" s="133">
        <f>Personnel!D8</f>
        <v/>
      </c>
      <c r="AA8" s="133">
        <f>Personnel!D8</f>
        <v/>
      </c>
      <c r="AB8" s="133">
        <f>Personnel!D8</f>
        <v/>
      </c>
      <c r="AC8" s="133">
        <f>Personnel!D8</f>
        <v/>
      </c>
      <c r="AD8" s="133">
        <f>Personnel!D8</f>
        <v/>
      </c>
      <c r="AE8" s="133">
        <f>Personnel!D8</f>
        <v/>
      </c>
      <c r="AF8" s="133">
        <f>Personnel!$E$8*1.25</f>
        <v/>
      </c>
      <c r="AG8" s="133">
        <f>Personnel!$E$8*1.25</f>
        <v/>
      </c>
      <c r="AH8" s="133">
        <f>Personnel!$E$8*1.25</f>
        <v/>
      </c>
      <c r="AI8" s="133">
        <f>Personnel!$E$8*1.25</f>
        <v/>
      </c>
      <c r="AJ8" s="133">
        <f>Personnel!$E$8*1.25</f>
        <v/>
      </c>
      <c r="AK8" s="133">
        <f>Personnel!$E$8*1.25</f>
        <v/>
      </c>
      <c r="AL8" s="133">
        <f>Personnel!D8*2</f>
        <v/>
      </c>
      <c r="AM8" s="133">
        <f>Personnel!D8*2</f>
        <v/>
      </c>
      <c r="AN8" s="133">
        <f>Personnel!D8*2</f>
        <v/>
      </c>
      <c r="AO8" s="133">
        <f>Personnel!D8*2</f>
        <v/>
      </c>
      <c r="AP8" s="133">
        <f>Personnel!D8*2</f>
        <v/>
      </c>
      <c r="AQ8" s="133">
        <f>Personnel!D8*2</f>
        <v/>
      </c>
      <c r="AR8" s="133">
        <f>Personnel!D8*2</f>
        <v/>
      </c>
      <c r="AS8" s="133">
        <f>Personnel!D8*2</f>
        <v/>
      </c>
      <c r="AT8" s="133">
        <f>Personnel!D8*2</f>
        <v/>
      </c>
      <c r="AU8" s="133">
        <f>Personnel!D8*2</f>
        <v/>
      </c>
      <c r="AV8" s="133">
        <f>Personnel!D8*2</f>
        <v/>
      </c>
      <c r="AW8" s="133">
        <f>Personnel!D8*2</f>
        <v/>
      </c>
      <c r="AX8" s="133">
        <f>Personnel!D8*2</f>
        <v/>
      </c>
      <c r="AY8" s="133">
        <f>Personnel!D8*2</f>
        <v/>
      </c>
      <c r="AZ8" s="133">
        <f>Personnel!D8*2</f>
        <v/>
      </c>
      <c r="BA8" s="133">
        <f>Personnel!D8*2</f>
        <v/>
      </c>
      <c r="BB8" s="133">
        <f>Personnel!D8*2</f>
        <v/>
      </c>
      <c r="BC8" s="133">
        <f>Personnel!D8*2</f>
        <v/>
      </c>
      <c r="BD8" s="133">
        <f>Personnel!D8*2</f>
        <v/>
      </c>
      <c r="BE8" s="133">
        <f>Personnel!D8*2</f>
        <v/>
      </c>
      <c r="BF8" s="133">
        <f>Personnel!D8*2</f>
        <v/>
      </c>
      <c r="BG8" s="133">
        <f>Personnel!D8*2</f>
        <v/>
      </c>
      <c r="BH8" s="133">
        <f>Personnel!D8*2</f>
        <v/>
      </c>
      <c r="BI8" s="133">
        <f>Personnel!D8*2</f>
        <v/>
      </c>
    </row>
    <row r="9">
      <c r="A9" s="38" t="inlineStr">
        <is>
          <t>Legal Counsel Coordinator</t>
        </is>
      </c>
      <c r="B9" s="133" t="n">
        <v>0</v>
      </c>
      <c r="C9" s="133" t="n">
        <v>0</v>
      </c>
      <c r="D9" s="133" t="n">
        <v>0</v>
      </c>
      <c r="E9" s="133" t="n">
        <v>0</v>
      </c>
      <c r="F9" s="133" t="n">
        <v>0</v>
      </c>
      <c r="G9" s="133" t="n">
        <v>0</v>
      </c>
      <c r="H9" s="133" t="n">
        <v>0</v>
      </c>
      <c r="I9" s="133" t="n">
        <v>0</v>
      </c>
      <c r="J9" s="117" t="n">
        <v>0</v>
      </c>
      <c r="K9" s="133">
        <f>Personnel!D9</f>
        <v/>
      </c>
      <c r="L9" s="133">
        <f>Personnel!D9</f>
        <v/>
      </c>
      <c r="M9" s="133">
        <f>Personnel!D9</f>
        <v/>
      </c>
      <c r="N9" s="133">
        <f>Personnel!D9</f>
        <v/>
      </c>
      <c r="O9" s="133">
        <f>Personnel!D9</f>
        <v/>
      </c>
      <c r="P9" s="133">
        <f>Personnel!D9</f>
        <v/>
      </c>
      <c r="Q9" s="133">
        <f>Personnel!D9</f>
        <v/>
      </c>
      <c r="R9" s="133">
        <f>Personnel!D9</f>
        <v/>
      </c>
      <c r="S9" s="133">
        <f>Personnel!D9</f>
        <v/>
      </c>
      <c r="T9" s="133">
        <f>Personnel!D9</f>
        <v/>
      </c>
      <c r="U9" s="133">
        <f>Personnel!D9</f>
        <v/>
      </c>
      <c r="V9" s="133">
        <f>Personnel!D9</f>
        <v/>
      </c>
      <c r="W9" s="133">
        <f>Personnel!D9</f>
        <v/>
      </c>
      <c r="X9" s="133">
        <f>Personnel!D9</f>
        <v/>
      </c>
      <c r="Y9" s="133">
        <f>Personnel!D9</f>
        <v/>
      </c>
      <c r="Z9" s="133">
        <f>Personnel!D9</f>
        <v/>
      </c>
      <c r="AA9" s="133">
        <f>Personnel!D9</f>
        <v/>
      </c>
      <c r="AB9" s="133">
        <f>Personnel!D9</f>
        <v/>
      </c>
      <c r="AC9" s="133">
        <f>Personnel!D9</f>
        <v/>
      </c>
      <c r="AD9" s="133">
        <f>Personnel!D9</f>
        <v/>
      </c>
      <c r="AE9" s="133">
        <f>Personnel!D9</f>
        <v/>
      </c>
      <c r="AF9" s="133">
        <f>Personnel!$E$9*1.25</f>
        <v/>
      </c>
      <c r="AG9" s="133">
        <f>Personnel!$E$9*1.25</f>
        <v/>
      </c>
      <c r="AH9" s="133">
        <f>Personnel!$E$9*1.25</f>
        <v/>
      </c>
      <c r="AI9" s="133">
        <f>Personnel!$E$9*1.25</f>
        <v/>
      </c>
      <c r="AJ9" s="133">
        <f>Personnel!$E$9*1.25</f>
        <v/>
      </c>
      <c r="AK9" s="133">
        <f>Personnel!$E$9*1.25</f>
        <v/>
      </c>
      <c r="AL9" s="133">
        <f>Personnel!D9*2</f>
        <v/>
      </c>
      <c r="AM9" s="133">
        <f>Personnel!D9*2</f>
        <v/>
      </c>
      <c r="AN9" s="133">
        <f>Personnel!D9*2</f>
        <v/>
      </c>
      <c r="AO9" s="133">
        <f>Personnel!D9*2</f>
        <v/>
      </c>
      <c r="AP9" s="133">
        <f>Personnel!D9*2</f>
        <v/>
      </c>
      <c r="AQ9" s="133">
        <f>Personnel!D9*2</f>
        <v/>
      </c>
      <c r="AR9" s="133">
        <f>Personnel!D9*2</f>
        <v/>
      </c>
      <c r="AS9" s="133">
        <f>Personnel!D9*2</f>
        <v/>
      </c>
      <c r="AT9" s="133">
        <f>Personnel!D9*2</f>
        <v/>
      </c>
      <c r="AU9" s="133">
        <f>Personnel!D9*2</f>
        <v/>
      </c>
      <c r="AV9" s="133">
        <f>Personnel!D9*2</f>
        <v/>
      </c>
      <c r="AW9" s="133">
        <f>Personnel!D9*2</f>
        <v/>
      </c>
      <c r="AX9" s="133">
        <f>Personnel!D9*2</f>
        <v/>
      </c>
      <c r="AY9" s="133">
        <f>Personnel!D9*2</f>
        <v/>
      </c>
      <c r="AZ9" s="133">
        <f>Personnel!D9*2</f>
        <v/>
      </c>
      <c r="BA9" s="133">
        <f>Personnel!D9*2</f>
        <v/>
      </c>
      <c r="BB9" s="133">
        <f>Personnel!D9*2</f>
        <v/>
      </c>
      <c r="BC9" s="133">
        <f>Personnel!D9*2</f>
        <v/>
      </c>
      <c r="BD9" s="133">
        <f>Personnel!D9*2</f>
        <v/>
      </c>
      <c r="BE9" s="133">
        <f>Personnel!D9*2</f>
        <v/>
      </c>
      <c r="BF9" s="133">
        <f>Personnel!D9*2</f>
        <v/>
      </c>
      <c r="BG9" s="133">
        <f>Personnel!D9*2</f>
        <v/>
      </c>
      <c r="BH9" s="133">
        <f>Personnel!D9*2</f>
        <v/>
      </c>
      <c r="BI9" s="133">
        <f>Personnel!D9*2</f>
        <v/>
      </c>
    </row>
    <row r="10">
      <c r="A10" s="38" t="inlineStr">
        <is>
          <t>Brand Designer / Product Designer</t>
        </is>
      </c>
      <c r="B10" s="133" t="n">
        <v>0</v>
      </c>
      <c r="C10" s="133" t="n">
        <v>0</v>
      </c>
      <c r="D10" s="133" t="n">
        <v>0</v>
      </c>
      <c r="E10" s="133" t="n">
        <v>0</v>
      </c>
      <c r="F10" s="133" t="n">
        <v>0</v>
      </c>
      <c r="G10" s="133" t="n">
        <v>0</v>
      </c>
      <c r="H10" s="133" t="n">
        <v>0</v>
      </c>
      <c r="I10" s="133" t="n">
        <v>0</v>
      </c>
      <c r="J10" s="117" t="n">
        <v>0</v>
      </c>
      <c r="K10" s="133">
        <f>Personnel!D10</f>
        <v/>
      </c>
      <c r="L10" s="133">
        <f>Personnel!D10</f>
        <v/>
      </c>
      <c r="M10" s="133">
        <f>Personnel!D10</f>
        <v/>
      </c>
      <c r="N10" s="133">
        <f>Personnel!D10</f>
        <v/>
      </c>
      <c r="O10" s="133">
        <f>Personnel!D10</f>
        <v/>
      </c>
      <c r="P10" s="133">
        <f>Personnel!D10</f>
        <v/>
      </c>
      <c r="Q10" s="133">
        <f>Personnel!D10</f>
        <v/>
      </c>
      <c r="R10" s="133">
        <f>Personnel!D10</f>
        <v/>
      </c>
      <c r="S10" s="133">
        <f>Personnel!D10</f>
        <v/>
      </c>
      <c r="T10" s="133">
        <f>Personnel!D10</f>
        <v/>
      </c>
      <c r="U10" s="133">
        <f>Personnel!D10</f>
        <v/>
      </c>
      <c r="V10" s="133">
        <f>Personnel!D10</f>
        <v/>
      </c>
      <c r="W10" s="133">
        <f>Personnel!D10</f>
        <v/>
      </c>
      <c r="X10" s="133">
        <f>Personnel!D10</f>
        <v/>
      </c>
      <c r="Y10" s="133">
        <f>Personnel!D10</f>
        <v/>
      </c>
      <c r="Z10" s="133">
        <f>Personnel!D10</f>
        <v/>
      </c>
      <c r="AA10" s="133">
        <f>Personnel!D10</f>
        <v/>
      </c>
      <c r="AB10" s="133">
        <f>Personnel!D10</f>
        <v/>
      </c>
      <c r="AC10" s="133">
        <f>Personnel!D10</f>
        <v/>
      </c>
      <c r="AD10" s="133">
        <f>Personnel!D10</f>
        <v/>
      </c>
      <c r="AE10" s="133">
        <f>Personnel!D10</f>
        <v/>
      </c>
      <c r="AF10" s="133">
        <f>Personnel!$E$10*1.25</f>
        <v/>
      </c>
      <c r="AG10" s="133">
        <f>Personnel!$E$10*1.25</f>
        <v/>
      </c>
      <c r="AH10" s="133">
        <f>Personnel!$E$10*1.25</f>
        <v/>
      </c>
      <c r="AI10" s="133">
        <f>Personnel!$E$10*1.25</f>
        <v/>
      </c>
      <c r="AJ10" s="133">
        <f>Personnel!$E$10*1.25</f>
        <v/>
      </c>
      <c r="AK10" s="133">
        <f>Personnel!$E$10*1.25</f>
        <v/>
      </c>
      <c r="AL10" s="133">
        <f>Personnel!D10*2</f>
        <v/>
      </c>
      <c r="AM10" s="133">
        <f>Personnel!D10*2</f>
        <v/>
      </c>
      <c r="AN10" s="133">
        <f>Personnel!D10*2</f>
        <v/>
      </c>
      <c r="AO10" s="133">
        <f>Personnel!D10*2</f>
        <v/>
      </c>
      <c r="AP10" s="133">
        <f>Personnel!D10*2</f>
        <v/>
      </c>
      <c r="AQ10" s="133">
        <f>Personnel!D10*2</f>
        <v/>
      </c>
      <c r="AR10" s="133">
        <f>Personnel!D10*2</f>
        <v/>
      </c>
      <c r="AS10" s="133">
        <f>Personnel!D10*2</f>
        <v/>
      </c>
      <c r="AT10" s="133">
        <f>Personnel!D10*2</f>
        <v/>
      </c>
      <c r="AU10" s="133">
        <f>Personnel!D10*2</f>
        <v/>
      </c>
      <c r="AV10" s="133">
        <f>Personnel!D10*2</f>
        <v/>
      </c>
      <c r="AW10" s="133">
        <f>Personnel!D10*2</f>
        <v/>
      </c>
      <c r="AX10" s="133">
        <f>Personnel!D10*2</f>
        <v/>
      </c>
      <c r="AY10" s="133">
        <f>Personnel!D10*2</f>
        <v/>
      </c>
      <c r="AZ10" s="133">
        <f>Personnel!D10*2</f>
        <v/>
      </c>
      <c r="BA10" s="133">
        <f>Personnel!D10*2</f>
        <v/>
      </c>
      <c r="BB10" s="133">
        <f>Personnel!D10*2</f>
        <v/>
      </c>
      <c r="BC10" s="133">
        <f>Personnel!D10*2</f>
        <v/>
      </c>
      <c r="BD10" s="133">
        <f>Personnel!D10*2</f>
        <v/>
      </c>
      <c r="BE10" s="133">
        <f>Personnel!D10*2</f>
        <v/>
      </c>
      <c r="BF10" s="133">
        <f>Personnel!D10*2</f>
        <v/>
      </c>
      <c r="BG10" s="133">
        <f>Personnel!D10*2</f>
        <v/>
      </c>
      <c r="BH10" s="133">
        <f>Personnel!D10*2</f>
        <v/>
      </c>
      <c r="BI10" s="133">
        <f>Personnel!D10*2</f>
        <v/>
      </c>
    </row>
    <row r="11">
      <c r="A11" s="38" t="inlineStr">
        <is>
          <t>Regenerative Compliance Specialist</t>
        </is>
      </c>
      <c r="B11" s="133" t="n">
        <v>0</v>
      </c>
      <c r="C11" s="133" t="n">
        <v>0</v>
      </c>
      <c r="D11" s="133" t="n">
        <v>0</v>
      </c>
      <c r="E11" s="133" t="n">
        <v>0</v>
      </c>
      <c r="F11" s="133" t="n">
        <v>0</v>
      </c>
      <c r="G11" s="133" t="n">
        <v>0</v>
      </c>
      <c r="H11" s="133" t="n">
        <v>0</v>
      </c>
      <c r="I11" s="133" t="n">
        <v>0</v>
      </c>
      <c r="J11" s="133" t="n">
        <v>0</v>
      </c>
      <c r="K11" s="133">
        <f>Personnel!D11</f>
        <v/>
      </c>
      <c r="L11" s="133">
        <f>Personnel!D11</f>
        <v/>
      </c>
      <c r="M11" s="133">
        <f>Personnel!D11</f>
        <v/>
      </c>
      <c r="N11" s="133">
        <f>Personnel!D11</f>
        <v/>
      </c>
      <c r="O11" s="133">
        <f>Personnel!D11</f>
        <v/>
      </c>
      <c r="P11" s="133">
        <f>Personnel!D11</f>
        <v/>
      </c>
      <c r="Q11" s="133">
        <f>Personnel!D11</f>
        <v/>
      </c>
      <c r="R11" s="133">
        <f>Personnel!D11</f>
        <v/>
      </c>
      <c r="S11" s="133">
        <f>Personnel!D11</f>
        <v/>
      </c>
      <c r="T11" s="133">
        <f>Personnel!D11</f>
        <v/>
      </c>
      <c r="U11" s="133">
        <f>Personnel!D11</f>
        <v/>
      </c>
      <c r="V11" s="133">
        <f>Personnel!D11</f>
        <v/>
      </c>
      <c r="W11" s="133">
        <f>Personnel!D11</f>
        <v/>
      </c>
      <c r="X11" s="133">
        <f>Personnel!D11</f>
        <v/>
      </c>
      <c r="Y11" s="133">
        <f>Personnel!D11</f>
        <v/>
      </c>
      <c r="Z11" s="133">
        <f>Personnel!D11</f>
        <v/>
      </c>
      <c r="AA11" s="133">
        <f>Personnel!D11</f>
        <v/>
      </c>
      <c r="AB11" s="133">
        <f>Personnel!D11</f>
        <v/>
      </c>
      <c r="AC11" s="133">
        <f>Personnel!D11</f>
        <v/>
      </c>
      <c r="AD11" s="133">
        <f>Personnel!D11</f>
        <v/>
      </c>
      <c r="AE11" s="133">
        <f>Personnel!D11</f>
        <v/>
      </c>
      <c r="AF11" s="133">
        <f>Personnel!$E$11*1.25</f>
        <v/>
      </c>
      <c r="AG11" s="133">
        <f>Personnel!$E$11*1.25</f>
        <v/>
      </c>
      <c r="AH11" s="133">
        <f>Personnel!$E$11*1.25</f>
        <v/>
      </c>
      <c r="AI11" s="133">
        <f>Personnel!$E$11*1.25</f>
        <v/>
      </c>
      <c r="AJ11" s="133">
        <f>Personnel!$E$11*1.25</f>
        <v/>
      </c>
      <c r="AK11" s="133">
        <f>Personnel!$E$11*1.25</f>
        <v/>
      </c>
      <c r="AL11" s="133">
        <f>Personnel!D11*2</f>
        <v/>
      </c>
      <c r="AM11" s="133">
        <f>Personnel!D11*2</f>
        <v/>
      </c>
      <c r="AN11" s="133">
        <f>Personnel!D11*2</f>
        <v/>
      </c>
      <c r="AO11" s="133">
        <f>Personnel!D11*2</f>
        <v/>
      </c>
      <c r="AP11" s="133">
        <f>Personnel!D11*2</f>
        <v/>
      </c>
      <c r="AQ11" s="133">
        <f>Personnel!D11*2</f>
        <v/>
      </c>
      <c r="AR11" s="133">
        <f>Personnel!D11*2</f>
        <v/>
      </c>
      <c r="AS11" s="133">
        <f>Personnel!D11*2</f>
        <v/>
      </c>
      <c r="AT11" s="133">
        <f>Personnel!D11*2</f>
        <v/>
      </c>
      <c r="AU11" s="133">
        <f>Personnel!D11*2</f>
        <v/>
      </c>
      <c r="AV11" s="133">
        <f>Personnel!D11*2</f>
        <v/>
      </c>
      <c r="AW11" s="133">
        <f>Personnel!D11*2</f>
        <v/>
      </c>
      <c r="AX11" s="133">
        <f>Personnel!D11*2</f>
        <v/>
      </c>
      <c r="AY11" s="133">
        <f>Personnel!D11*2</f>
        <v/>
      </c>
      <c r="AZ11" s="133">
        <f>Personnel!D11*2</f>
        <v/>
      </c>
      <c r="BA11" s="133">
        <f>Personnel!D11*2</f>
        <v/>
      </c>
      <c r="BB11" s="133">
        <f>Personnel!D11*2</f>
        <v/>
      </c>
      <c r="BC11" s="133">
        <f>Personnel!D11*2</f>
        <v/>
      </c>
      <c r="BD11" s="133">
        <f>Personnel!D11*2</f>
        <v/>
      </c>
      <c r="BE11" s="133">
        <f>Personnel!D11*2</f>
        <v/>
      </c>
      <c r="BF11" s="133">
        <f>Personnel!D11*2</f>
        <v/>
      </c>
      <c r="BG11" s="133">
        <f>Personnel!D11*2</f>
        <v/>
      </c>
      <c r="BH11" s="133">
        <f>Personnel!D11*2</f>
        <v/>
      </c>
      <c r="BI11" s="133">
        <f>Personnel!D11*2</f>
        <v/>
      </c>
    </row>
    <row r="12">
      <c r="A12" s="38" t="inlineStr">
        <is>
          <t>Board Directors (x4)</t>
        </is>
      </c>
      <c r="B12" s="133" t="n">
        <v>0</v>
      </c>
      <c r="C12" s="133" t="n">
        <v>0</v>
      </c>
      <c r="D12" s="133" t="n">
        <v>0</v>
      </c>
      <c r="E12" s="133" t="n">
        <v>0</v>
      </c>
      <c r="F12" s="133" t="n">
        <v>0</v>
      </c>
      <c r="G12" s="133" t="n">
        <v>0</v>
      </c>
      <c r="H12" s="133" t="n">
        <v>0</v>
      </c>
      <c r="I12" s="133" t="n">
        <v>0</v>
      </c>
      <c r="J12" s="117" t="n">
        <v>0</v>
      </c>
      <c r="K12" s="133">
        <f>Personnel!D12</f>
        <v/>
      </c>
      <c r="L12" s="133">
        <f>Personnel!D12</f>
        <v/>
      </c>
      <c r="M12" s="133">
        <f>Personnel!D12</f>
        <v/>
      </c>
      <c r="N12" s="133">
        <f>Personnel!D12</f>
        <v/>
      </c>
      <c r="O12" s="133">
        <f>Personnel!D12</f>
        <v/>
      </c>
      <c r="P12" s="133">
        <f>Personnel!D12</f>
        <v/>
      </c>
      <c r="Q12" s="133">
        <f>Personnel!D12</f>
        <v/>
      </c>
      <c r="R12" s="133">
        <f>Personnel!D12</f>
        <v/>
      </c>
      <c r="S12" s="133">
        <f>Personnel!D12</f>
        <v/>
      </c>
      <c r="T12" s="133">
        <f>Personnel!D12</f>
        <v/>
      </c>
      <c r="U12" s="133">
        <f>Personnel!D12</f>
        <v/>
      </c>
      <c r="V12" s="133">
        <f>Personnel!D12</f>
        <v/>
      </c>
      <c r="W12" s="133">
        <f>Personnel!D12</f>
        <v/>
      </c>
      <c r="X12" s="133">
        <f>Personnel!D12</f>
        <v/>
      </c>
      <c r="Y12" s="133">
        <f>Personnel!D12</f>
        <v/>
      </c>
      <c r="Z12" s="133">
        <f>Personnel!D12</f>
        <v/>
      </c>
      <c r="AA12" s="133">
        <f>Personnel!D12</f>
        <v/>
      </c>
      <c r="AB12" s="133">
        <f>Personnel!D12</f>
        <v/>
      </c>
      <c r="AC12" s="133">
        <f>Personnel!D12</f>
        <v/>
      </c>
      <c r="AD12" s="133">
        <f>Personnel!D12</f>
        <v/>
      </c>
      <c r="AE12" s="133">
        <f>Personnel!D12</f>
        <v/>
      </c>
      <c r="AF12" s="133">
        <f>Personnel!$D$12*1.25</f>
        <v/>
      </c>
      <c r="AG12" s="133">
        <f>Personnel!$D$12*1.25</f>
        <v/>
      </c>
      <c r="AH12" s="133">
        <f>Personnel!$D$12*1.25</f>
        <v/>
      </c>
      <c r="AI12" s="133">
        <f>Personnel!$D$12*1.25</f>
        <v/>
      </c>
      <c r="AJ12" s="133">
        <f>Personnel!$D$12*1.25</f>
        <v/>
      </c>
      <c r="AK12" s="133">
        <f>Personnel!$D$12*1.25</f>
        <v/>
      </c>
      <c r="AL12" s="133">
        <f>Personnel!D11*2</f>
        <v/>
      </c>
      <c r="AM12" s="133">
        <f>Personnel!D11*2</f>
        <v/>
      </c>
      <c r="AN12" s="133">
        <f>Personnel!D11*2</f>
        <v/>
      </c>
      <c r="AO12" s="133">
        <f>Personnel!D11*2</f>
        <v/>
      </c>
      <c r="AP12" s="133">
        <f>Personnel!D11*2</f>
        <v/>
      </c>
      <c r="AQ12" s="133">
        <f>Personnel!D11*2</f>
        <v/>
      </c>
      <c r="AR12" s="133">
        <f>Personnel!D11*2</f>
        <v/>
      </c>
      <c r="AS12" s="133">
        <f>Personnel!D11*2</f>
        <v/>
      </c>
      <c r="AT12" s="133">
        <f>Personnel!D11*2</f>
        <v/>
      </c>
      <c r="AU12" s="133">
        <f>Personnel!D11*2</f>
        <v/>
      </c>
      <c r="AV12" s="133">
        <f>Personnel!D11*2</f>
        <v/>
      </c>
      <c r="AW12" s="133">
        <f>Personnel!D11*2</f>
        <v/>
      </c>
      <c r="AX12" s="133">
        <f>Personnel!D11*2</f>
        <v/>
      </c>
      <c r="AY12" s="133">
        <f>Personnel!D11*2</f>
        <v/>
      </c>
      <c r="AZ12" s="133">
        <f>Personnel!D11*2</f>
        <v/>
      </c>
      <c r="BA12" s="133">
        <f>Personnel!D11*2</f>
        <v/>
      </c>
      <c r="BB12" s="133">
        <f>Personnel!D11*2</f>
        <v/>
      </c>
      <c r="BC12" s="133">
        <f>Personnel!D11*2</f>
        <v/>
      </c>
      <c r="BD12" s="133">
        <f>Personnel!D11*2</f>
        <v/>
      </c>
      <c r="BE12" s="133">
        <f>Personnel!D11*2</f>
        <v/>
      </c>
      <c r="BF12" s="133">
        <f>Personnel!D11*2</f>
        <v/>
      </c>
      <c r="BG12" s="133">
        <f>Personnel!D11*2</f>
        <v/>
      </c>
      <c r="BH12" s="133">
        <f>Personnel!D11*2</f>
        <v/>
      </c>
      <c r="BI12" s="133">
        <f>Personnel!D11*2</f>
        <v/>
      </c>
    </row>
    <row r="13">
      <c r="A13" s="207" t="inlineStr">
        <is>
          <t>Total Personnel Stipends</t>
        </is>
      </c>
      <c r="B13" s="205">
        <f>SUM(B3:B12)</f>
        <v/>
      </c>
      <c r="C13" s="205">
        <f>SUM(C3:C12)</f>
        <v/>
      </c>
      <c r="D13" s="205">
        <f>SUM(D3:D12)</f>
        <v/>
      </c>
      <c r="E13" s="205">
        <f>SUM(E3:E12)</f>
        <v/>
      </c>
      <c r="F13" s="205">
        <f>SUM(F3:F12)</f>
        <v/>
      </c>
      <c r="G13" s="205">
        <f>SUM(G3:G12)</f>
        <v/>
      </c>
      <c r="H13" s="205">
        <f>SUM(H3:H12)</f>
        <v/>
      </c>
      <c r="I13" s="205">
        <f>SUM(I3:I12)</f>
        <v/>
      </c>
      <c r="J13" s="205">
        <f>SUM(J3:J12)</f>
        <v/>
      </c>
      <c r="K13" s="205">
        <f>SUM(K3:K12)</f>
        <v/>
      </c>
      <c r="L13" s="205">
        <f>SUM(L3:L12)</f>
        <v/>
      </c>
      <c r="M13" s="205">
        <f>SUM(M3:M12)</f>
        <v/>
      </c>
      <c r="N13" s="205">
        <f>SUM(N3:N12)</f>
        <v/>
      </c>
      <c r="O13" s="205">
        <f>SUM(O3:O12)</f>
        <v/>
      </c>
      <c r="P13" s="205">
        <f>SUM(P3:P12)</f>
        <v/>
      </c>
      <c r="Q13" s="205">
        <f>SUM(Q3:Q12)</f>
        <v/>
      </c>
      <c r="R13" s="205">
        <f>SUM(R3:R12)</f>
        <v/>
      </c>
      <c r="S13" s="205">
        <f>SUM(S3:S12)</f>
        <v/>
      </c>
      <c r="T13" s="205">
        <f>SUM(T3:T12)</f>
        <v/>
      </c>
      <c r="U13" s="205">
        <f>SUM(U3:U12)</f>
        <v/>
      </c>
      <c r="V13" s="205">
        <f>SUM(V3:V12)</f>
        <v/>
      </c>
      <c r="W13" s="205">
        <f>SUM(W3:W12)</f>
        <v/>
      </c>
      <c r="X13" s="205">
        <f>SUM(X3:X12)</f>
        <v/>
      </c>
      <c r="Y13" s="205">
        <f>SUM(Y3:Y12)</f>
        <v/>
      </c>
      <c r="Z13" s="205">
        <f>SUM(Z3:Z12)</f>
        <v/>
      </c>
      <c r="AA13" s="205">
        <f>SUM(AA3:AA12)</f>
        <v/>
      </c>
      <c r="AB13" s="205">
        <f>SUM(AB3:AB12)</f>
        <v/>
      </c>
      <c r="AC13" s="205">
        <f>SUM(AC3:AC12)</f>
        <v/>
      </c>
      <c r="AD13" s="205">
        <f>SUM(AD3:AD12)</f>
        <v/>
      </c>
      <c r="AE13" s="205">
        <f>SUM(AE3:AE12)</f>
        <v/>
      </c>
      <c r="AF13" s="205">
        <f>SUM(AF3:AF12)</f>
        <v/>
      </c>
      <c r="AG13" s="205">
        <f>SUM(AG3:AG12)</f>
        <v/>
      </c>
      <c r="AH13" s="205">
        <f>SUM(AH3:AH12)</f>
        <v/>
      </c>
      <c r="AI13" s="205">
        <f>SUM(AI3:AI12)</f>
        <v/>
      </c>
      <c r="AJ13" s="205">
        <f>SUM(AJ3:AJ12)</f>
        <v/>
      </c>
      <c r="AK13" s="205">
        <f>SUM(AK3:AK12)</f>
        <v/>
      </c>
      <c r="AL13" s="205">
        <f>SUM(AL3:AL12)</f>
        <v/>
      </c>
      <c r="AM13" s="205">
        <f>SUM(AM3:AM12)</f>
        <v/>
      </c>
      <c r="AN13" s="205">
        <f>SUM(AN3:AN12)</f>
        <v/>
      </c>
      <c r="AO13" s="205">
        <f>SUM(AO3:AO12)</f>
        <v/>
      </c>
      <c r="AP13" s="205">
        <f>SUM(AP3:AP12)</f>
        <v/>
      </c>
      <c r="AQ13" s="205">
        <f>SUM(AQ3:AQ12)</f>
        <v/>
      </c>
      <c r="AR13" s="205">
        <f>SUM(AR3:AR12)</f>
        <v/>
      </c>
      <c r="AS13" s="205">
        <f>SUM(AS3:AS12)</f>
        <v/>
      </c>
      <c r="AT13" s="205">
        <f>SUM(AT3:AT12)</f>
        <v/>
      </c>
      <c r="AU13" s="205">
        <f>SUM(AU3:AU12)</f>
        <v/>
      </c>
      <c r="AV13" s="205">
        <f>SUM(AV3:AV12)</f>
        <v/>
      </c>
      <c r="AW13" s="205">
        <f>SUM(AW3:AW12)</f>
        <v/>
      </c>
      <c r="AX13" s="205">
        <f>SUM(AX3:AX12)</f>
        <v/>
      </c>
      <c r="AY13" s="205">
        <f>SUM(AY3:AY12)</f>
        <v/>
      </c>
      <c r="AZ13" s="205">
        <f>SUM(AZ3:AZ12)</f>
        <v/>
      </c>
      <c r="BA13" s="205">
        <f>SUM(BA3:BA12)</f>
        <v/>
      </c>
      <c r="BB13" s="205">
        <f>SUM(BB3:BB12)</f>
        <v/>
      </c>
      <c r="BC13" s="205">
        <f>SUM(BC3:BC12)</f>
        <v/>
      </c>
      <c r="BD13" s="205">
        <f>SUM(BD3:BD12)</f>
        <v/>
      </c>
      <c r="BE13" s="205">
        <f>SUM(BE3:BE12)</f>
        <v/>
      </c>
      <c r="BF13" s="205">
        <f>SUM(BF3:BF12)</f>
        <v/>
      </c>
      <c r="BG13" s="205">
        <f>SUM(BG3:BG12)</f>
        <v/>
      </c>
      <c r="BH13" s="205">
        <f>SUM(BH3:BH12)</f>
        <v/>
      </c>
      <c r="BI13" s="205">
        <f>SUM(BI3:BI12)</f>
        <v/>
      </c>
    </row>
    <row r="14">
      <c r="A14" s="108" t="inlineStr">
        <is>
          <t>Total Personnel Deferred Comp</t>
        </is>
      </c>
      <c r="B14" s="261">
        <f>sum('Deferred Comp'!B35:J35)</f>
        <v/>
      </c>
      <c r="C14" s="261">
        <f>'Deferred Comp'!K35</f>
        <v/>
      </c>
      <c r="D14" s="261">
        <f>'Deferred Comp'!L35</f>
        <v/>
      </c>
      <c r="E14" s="261">
        <f>'Deferred Comp'!M35</f>
        <v/>
      </c>
      <c r="F14" s="261">
        <f>'Deferred Comp'!N35</f>
        <v/>
      </c>
      <c r="G14" s="261">
        <f>'Deferred Comp'!O35</f>
        <v/>
      </c>
      <c r="H14" s="261">
        <f>'Deferred Comp'!P35</f>
        <v/>
      </c>
      <c r="I14" s="261">
        <f>'Deferred Comp'!Q35</f>
        <v/>
      </c>
      <c r="J14" s="261">
        <f>'Deferred Comp'!R35</f>
        <v/>
      </c>
      <c r="K14" s="261">
        <f>'Deferred Comp'!S35</f>
        <v/>
      </c>
      <c r="L14" s="261">
        <f>'Deferred Comp'!T35</f>
        <v/>
      </c>
      <c r="M14" s="261">
        <f>'Deferred Comp'!U35</f>
        <v/>
      </c>
      <c r="N14" s="261">
        <f>'Deferred Comp'!V35</f>
        <v/>
      </c>
      <c r="O14" s="261">
        <f>'Deferred Comp'!W35</f>
        <v/>
      </c>
      <c r="P14" s="261">
        <f>'Deferred Comp'!X35</f>
        <v/>
      </c>
      <c r="Q14" s="261">
        <f>'Deferred Comp'!Y35</f>
        <v/>
      </c>
      <c r="R14" s="261">
        <f>'Deferred Comp'!Z35</f>
        <v/>
      </c>
      <c r="S14" s="261">
        <f>'Deferred Comp'!AA35</f>
        <v/>
      </c>
      <c r="T14" s="261">
        <f>'Deferred Comp'!AB35</f>
        <v/>
      </c>
      <c r="U14" s="261">
        <f>'Deferred Comp'!AC35</f>
        <v/>
      </c>
      <c r="V14" s="261">
        <f>'Deferred Comp'!AD35</f>
        <v/>
      </c>
      <c r="W14" s="261">
        <f>'Deferred Comp'!AE35</f>
        <v/>
      </c>
      <c r="X14" s="261">
        <f>'Deferred Comp'!AF35</f>
        <v/>
      </c>
      <c r="Y14" s="261">
        <f>'Deferred Comp'!AG35</f>
        <v/>
      </c>
      <c r="Z14" s="261">
        <f>'Deferred Comp'!AH35</f>
        <v/>
      </c>
      <c r="AA14" s="261">
        <f>'Deferred Comp'!AI35</f>
        <v/>
      </c>
      <c r="AB14" s="261">
        <f>'Deferred Comp'!AJ35</f>
        <v/>
      </c>
      <c r="AC14" s="261">
        <f>'Deferred Comp'!AK35</f>
        <v/>
      </c>
      <c r="AD14" s="261">
        <f>'Deferred Comp'!AL35</f>
        <v/>
      </c>
      <c r="AE14" s="261">
        <f>'Deferred Comp'!AM35</f>
        <v/>
      </c>
      <c r="AF14" s="261">
        <f>'Deferred Comp'!AN35</f>
        <v/>
      </c>
      <c r="AG14" s="261">
        <f>'Deferred Comp'!AO35</f>
        <v/>
      </c>
      <c r="AH14" s="261">
        <f>'Deferred Comp'!AP35</f>
        <v/>
      </c>
      <c r="AI14" s="261">
        <f>'Deferred Comp'!AQ35</f>
        <v/>
      </c>
      <c r="AJ14" s="261">
        <f>'Deferred Comp'!AR35</f>
        <v/>
      </c>
      <c r="AK14" s="261">
        <f>'Deferred Comp'!AS35</f>
        <v/>
      </c>
      <c r="AL14" s="261">
        <f>'Deferred Comp'!AT35</f>
        <v/>
      </c>
      <c r="AM14" s="261">
        <f>'Deferred Comp'!AU35</f>
        <v/>
      </c>
      <c r="AN14" s="261">
        <f>'Deferred Comp'!AV35</f>
        <v/>
      </c>
      <c r="AO14" s="261">
        <f>'Deferred Comp'!AW35</f>
        <v/>
      </c>
      <c r="AP14" s="261">
        <f>'Deferred Comp'!AX35</f>
        <v/>
      </c>
      <c r="AQ14" s="261">
        <f>'Deferred Comp'!AY35</f>
        <v/>
      </c>
      <c r="AR14" s="261">
        <f>'Deferred Comp'!AZ35</f>
        <v/>
      </c>
      <c r="AS14" s="261">
        <f>'Deferred Comp'!BA35</f>
        <v/>
      </c>
      <c r="AT14" s="261">
        <f>'Deferred Comp'!BB35</f>
        <v/>
      </c>
      <c r="AU14" s="261">
        <f>'Deferred Comp'!BC35</f>
        <v/>
      </c>
      <c r="AV14" s="261">
        <f>'Deferred Comp'!BD35</f>
        <v/>
      </c>
      <c r="AW14" s="261">
        <f>'Deferred Comp'!BE35</f>
        <v/>
      </c>
      <c r="AX14" s="261">
        <f>'Deferred Comp'!BF35</f>
        <v/>
      </c>
      <c r="AY14" s="261">
        <f>'Deferred Comp'!BG35</f>
        <v/>
      </c>
      <c r="AZ14" s="261">
        <f>'Deferred Comp'!BH35</f>
        <v/>
      </c>
      <c r="BA14" s="261">
        <f>'Deferred Comp'!BI35</f>
        <v/>
      </c>
      <c r="BB14" s="261">
        <f>'Deferred Comp'!BJ35</f>
        <v/>
      </c>
      <c r="BC14" s="261">
        <f>'Deferred Comp'!BK35</f>
        <v/>
      </c>
      <c r="BD14" s="261">
        <f>'Deferred Comp'!BL35</f>
        <v/>
      </c>
      <c r="BE14" s="261">
        <f>'Deferred Comp'!BM35</f>
        <v/>
      </c>
      <c r="BF14" s="261">
        <f>'Deferred Comp'!BN35</f>
        <v/>
      </c>
      <c r="BG14" s="261">
        <f>'Deferred Comp'!BO35</f>
        <v/>
      </c>
      <c r="BH14" s="261">
        <f>'Deferred Comp'!BP35</f>
        <v/>
      </c>
      <c r="BI14" s="261">
        <f>'Deferred Comp'!BQ35</f>
        <v/>
      </c>
    </row>
    <row r="15">
      <c r="A15" s="128" t="n"/>
      <c r="B15" s="128" t="n"/>
      <c r="C15" s="128" t="n"/>
      <c r="D15" s="128" t="n"/>
      <c r="E15" s="128" t="n"/>
      <c r="F15" s="128" t="n"/>
      <c r="G15" s="128" t="n"/>
      <c r="H15" s="128" t="n"/>
      <c r="I15" s="128" t="n"/>
      <c r="J15" s="128" t="n"/>
      <c r="K15" s="128" t="n"/>
      <c r="L15" s="128" t="n"/>
      <c r="M15" s="128" t="n"/>
      <c r="N15" s="128" t="n"/>
      <c r="O15" s="128" t="n"/>
      <c r="P15" s="128" t="n"/>
      <c r="Q15" s="128" t="n"/>
      <c r="R15" s="128" t="n"/>
      <c r="S15" s="128" t="n"/>
      <c r="T15" s="128" t="n"/>
      <c r="U15" s="128" t="n"/>
      <c r="V15" s="128" t="n"/>
      <c r="W15" s="128" t="n"/>
      <c r="X15" s="128" t="n"/>
      <c r="Y15" s="128" t="n"/>
      <c r="Z15" s="194" t="n"/>
      <c r="AA15" s="194" t="n"/>
      <c r="AB15" s="194" t="n"/>
      <c r="AC15" s="194" t="n"/>
      <c r="AD15" s="194" t="n"/>
      <c r="AE15" s="194" t="n"/>
      <c r="AF15" s="194" t="n"/>
      <c r="AG15" s="194" t="n"/>
      <c r="AH15" s="194" t="n"/>
      <c r="AI15" s="194" t="n"/>
      <c r="AJ15" s="194" t="n"/>
      <c r="AK15" s="194" t="n"/>
      <c r="AL15" s="194" t="n"/>
      <c r="AM15" s="194" t="n"/>
      <c r="AN15" s="194" t="n"/>
      <c r="AO15" s="194" t="n"/>
      <c r="AP15" s="194" t="n"/>
      <c r="AQ15" s="194" t="n"/>
      <c r="AR15" s="194" t="n"/>
      <c r="AS15" s="194" t="n"/>
      <c r="AT15" s="194" t="n"/>
      <c r="AU15" s="194" t="n"/>
      <c r="AV15" s="194" t="n"/>
      <c r="AW15" s="194" t="n"/>
      <c r="AX15" s="194" t="n"/>
      <c r="AY15" s="194" t="n"/>
      <c r="AZ15" s="194" t="n"/>
      <c r="BA15" s="194" t="n"/>
      <c r="BB15" s="194" t="n"/>
      <c r="BC15" s="194" t="n"/>
      <c r="BD15" s="194" t="n"/>
      <c r="BE15" s="194" t="n"/>
      <c r="BF15" s="194" t="n"/>
      <c r="BG15" s="194" t="n"/>
      <c r="BH15" s="194" t="n"/>
      <c r="BI15" s="194" t="n"/>
    </row>
    <row r="16">
      <c r="A16" s="36" t="inlineStr">
        <is>
          <t>Expenditures</t>
        </is>
      </c>
      <c r="B16" s="94" t="n"/>
      <c r="C16" s="94" t="n"/>
      <c r="D16" s="94" t="n"/>
      <c r="E16" s="94" t="n"/>
      <c r="F16" s="94" t="n"/>
      <c r="G16" s="94" t="n"/>
      <c r="H16" s="94" t="n"/>
      <c r="I16" s="94" t="n"/>
      <c r="J16" s="94" t="n"/>
      <c r="K16" s="94" t="n"/>
      <c r="L16" s="94" t="n"/>
      <c r="M16" s="94" t="n"/>
      <c r="N16" s="94" t="n"/>
      <c r="O16" s="94" t="n"/>
      <c r="P16" s="94" t="n"/>
      <c r="Q16" s="94" t="n"/>
      <c r="R16" s="94" t="n"/>
      <c r="S16" s="94" t="n"/>
      <c r="T16" s="94" t="n"/>
      <c r="U16" s="94" t="n"/>
      <c r="V16" s="94" t="n"/>
      <c r="W16" s="94" t="n"/>
      <c r="X16" s="94" t="n"/>
      <c r="Y16" s="94" t="n"/>
    </row>
    <row r="17">
      <c r="A17" s="38" t="inlineStr">
        <is>
          <t>Retreat Costs</t>
        </is>
      </c>
      <c r="B17" s="133" t="n">
        <v>0</v>
      </c>
      <c r="C17" s="133" t="n">
        <v>0</v>
      </c>
      <c r="D17" s="133" t="n">
        <v>0</v>
      </c>
      <c r="E17" s="133" t="n">
        <v>0</v>
      </c>
      <c r="F17" s="133" t="n">
        <v>0</v>
      </c>
      <c r="G17" s="133" t="n">
        <v>0</v>
      </c>
      <c r="H17" s="133" t="n">
        <v>0</v>
      </c>
      <c r="I17" s="133" t="n">
        <v>0</v>
      </c>
      <c r="J17" s="133" t="n">
        <v>0</v>
      </c>
      <c r="K17" s="133" t="n">
        <v>0</v>
      </c>
      <c r="L17" s="133" t="n">
        <v>0</v>
      </c>
      <c r="M17" s="133" t="n">
        <v>25000</v>
      </c>
      <c r="N17" s="133" t="n">
        <v>0</v>
      </c>
      <c r="O17" s="133" t="n">
        <v>0</v>
      </c>
      <c r="P17" s="133" t="n">
        <v>0</v>
      </c>
      <c r="Q17" s="133" t="n">
        <v>0</v>
      </c>
      <c r="R17" s="133" t="n">
        <v>0</v>
      </c>
      <c r="S17" s="133" t="n">
        <v>25000</v>
      </c>
      <c r="T17" s="133" t="n">
        <v>0</v>
      </c>
      <c r="U17" s="133" t="n">
        <v>0</v>
      </c>
      <c r="V17" s="133" t="n">
        <v>0</v>
      </c>
      <c r="W17" s="133" t="n">
        <v>25000</v>
      </c>
      <c r="X17" s="133" t="n">
        <v>0</v>
      </c>
      <c r="Y17" s="133" t="n">
        <v>0</v>
      </c>
      <c r="Z17" s="133" t="n">
        <v>25000</v>
      </c>
      <c r="AA17" s="133" t="n">
        <v>0</v>
      </c>
      <c r="AB17" s="133" t="n">
        <v>0</v>
      </c>
      <c r="AC17" s="133" t="n">
        <v>25000</v>
      </c>
      <c r="AD17" s="133" t="n">
        <v>0</v>
      </c>
      <c r="AE17" s="133" t="n">
        <v>0</v>
      </c>
      <c r="AF17" s="133" t="n">
        <v>25000</v>
      </c>
      <c r="AG17" s="133" t="n">
        <v>0</v>
      </c>
      <c r="AH17" s="133" t="n">
        <v>0</v>
      </c>
      <c r="AI17" s="133" t="n">
        <v>25000</v>
      </c>
      <c r="AJ17" s="133" t="n">
        <v>0</v>
      </c>
      <c r="AK17" s="133" t="n">
        <v>0</v>
      </c>
      <c r="AL17" s="133" t="n">
        <v>25000</v>
      </c>
      <c r="AM17" s="133" t="n">
        <v>0</v>
      </c>
      <c r="AN17" s="133" t="n">
        <v>0</v>
      </c>
      <c r="AO17" s="133" t="n">
        <v>25000</v>
      </c>
      <c r="AP17" s="133" t="n">
        <v>0</v>
      </c>
      <c r="AQ17" s="133" t="n">
        <v>0</v>
      </c>
      <c r="AR17" s="133" t="n">
        <v>25000</v>
      </c>
      <c r="AS17" s="133" t="n">
        <v>0</v>
      </c>
      <c r="AT17" s="133" t="n">
        <v>0</v>
      </c>
      <c r="AU17" s="133" t="n">
        <v>25000</v>
      </c>
      <c r="AV17" s="133" t="n">
        <v>0</v>
      </c>
      <c r="AW17" s="133" t="n">
        <v>0</v>
      </c>
      <c r="AX17" s="133" t="n">
        <v>25000</v>
      </c>
      <c r="AY17" s="133" t="n">
        <v>0</v>
      </c>
      <c r="AZ17" s="133" t="n">
        <v>0</v>
      </c>
      <c r="BA17" s="133" t="n">
        <v>25000</v>
      </c>
      <c r="BB17" s="133" t="n">
        <v>0</v>
      </c>
      <c r="BC17" s="133" t="n">
        <v>0</v>
      </c>
      <c r="BD17" s="133" t="n">
        <v>25000</v>
      </c>
      <c r="BE17" s="133" t="n">
        <v>0</v>
      </c>
      <c r="BF17" s="133" t="n">
        <v>0</v>
      </c>
      <c r="BG17" s="133" t="n">
        <v>25000</v>
      </c>
      <c r="BH17" s="133" t="n">
        <v>0</v>
      </c>
      <c r="BI17" s="133" t="n">
        <v>0</v>
      </c>
    </row>
    <row r="18">
      <c r="A18" s="38" t="inlineStr">
        <is>
          <t>Registered Agent, State Filing Fees, Etc.</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500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Trademarks &amp; Patents</t>
        </is>
      </c>
      <c r="B19" s="133" t="n">
        <v>0</v>
      </c>
      <c r="C19" s="133" t="n">
        <v>0</v>
      </c>
      <c r="D19" s="133" t="n">
        <v>0</v>
      </c>
      <c r="E19" s="133" t="n">
        <v>0</v>
      </c>
      <c r="F19" s="133" t="n">
        <v>0</v>
      </c>
      <c r="G19" s="133" t="n">
        <v>0</v>
      </c>
      <c r="H19" s="133" t="n">
        <v>0</v>
      </c>
      <c r="I19" s="133" t="n">
        <v>0</v>
      </c>
      <c r="J19" s="133" t="n">
        <v>0</v>
      </c>
      <c r="K19" s="133" t="n">
        <v>0</v>
      </c>
      <c r="L19" s="133" t="n">
        <v>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Team Travel (marketing, prospecting)</t>
        </is>
      </c>
      <c r="B20" s="133" t="n">
        <v>0</v>
      </c>
      <c r="C20" s="133" t="n">
        <v>0</v>
      </c>
      <c r="D20" s="133" t="n">
        <v>0</v>
      </c>
      <c r="E20" s="133" t="n">
        <v>0</v>
      </c>
      <c r="F20" s="133" t="n">
        <v>0</v>
      </c>
      <c r="G20" s="133" t="n">
        <v>0</v>
      </c>
      <c r="H20" s="133" t="n">
        <v>0</v>
      </c>
      <c r="I20" s="133" t="n">
        <v>0</v>
      </c>
      <c r="J20" s="133" t="n">
        <v>0</v>
      </c>
      <c r="K20" s="133" t="n">
        <v>2500</v>
      </c>
      <c r="L20" s="133" t="n">
        <v>10000</v>
      </c>
      <c r="M20" s="133" t="n">
        <v>10000</v>
      </c>
      <c r="N20" s="133" t="n">
        <v>10000</v>
      </c>
      <c r="O20" s="133" t="n">
        <v>10000</v>
      </c>
      <c r="P20" s="133" t="n">
        <v>10000</v>
      </c>
      <c r="Q20" s="133" t="n">
        <v>10000</v>
      </c>
      <c r="R20" s="133" t="n">
        <v>10000</v>
      </c>
      <c r="S20" s="133" t="n">
        <v>10000</v>
      </c>
      <c r="T20" s="133" t="n">
        <v>10000</v>
      </c>
      <c r="U20" s="133" t="n">
        <v>10000</v>
      </c>
      <c r="V20" s="133" t="n">
        <v>10000</v>
      </c>
      <c r="W20" s="133" t="n">
        <v>10000</v>
      </c>
      <c r="X20" s="133" t="n">
        <v>10000</v>
      </c>
      <c r="Y20" s="133" t="n">
        <v>10000</v>
      </c>
      <c r="Z20" s="133" t="n">
        <v>10000</v>
      </c>
      <c r="AA20" s="133" t="n">
        <v>10000</v>
      </c>
      <c r="AB20" s="133" t="n">
        <v>10000</v>
      </c>
      <c r="AC20" s="133" t="n">
        <v>10000</v>
      </c>
      <c r="AD20" s="133" t="n">
        <v>10000</v>
      </c>
      <c r="AE20" s="133" t="n">
        <v>10000</v>
      </c>
      <c r="AF20" s="133" t="n">
        <v>10000</v>
      </c>
      <c r="AG20" s="133" t="n">
        <v>10000</v>
      </c>
      <c r="AH20" s="133" t="n">
        <v>10000</v>
      </c>
      <c r="AI20" s="133" t="n">
        <v>10000</v>
      </c>
      <c r="AJ20" s="133" t="n">
        <v>10000</v>
      </c>
      <c r="AK20" s="133" t="n">
        <v>10000</v>
      </c>
      <c r="AL20" s="133" t="n">
        <v>10000</v>
      </c>
      <c r="AM20" s="133" t="n">
        <v>10000</v>
      </c>
      <c r="AN20" s="133" t="n">
        <v>10000</v>
      </c>
      <c r="AO20" s="133" t="n">
        <v>10000</v>
      </c>
      <c r="AP20" s="133" t="n">
        <v>10000</v>
      </c>
      <c r="AQ20" s="133" t="n">
        <v>10000</v>
      </c>
      <c r="AR20" s="133" t="n">
        <v>10000</v>
      </c>
      <c r="AS20" s="133" t="n">
        <v>10000</v>
      </c>
      <c r="AT20" s="133" t="n">
        <v>10000</v>
      </c>
      <c r="AU20" s="133" t="n">
        <v>10000</v>
      </c>
      <c r="AV20" s="133" t="n">
        <v>10000</v>
      </c>
      <c r="AW20" s="133" t="n">
        <v>10000</v>
      </c>
      <c r="AX20" s="133" t="n">
        <v>10000</v>
      </c>
      <c r="AY20" s="133" t="n">
        <v>10000</v>
      </c>
      <c r="AZ20" s="133" t="n">
        <v>10000</v>
      </c>
      <c r="BA20" s="133" t="n">
        <v>10000</v>
      </c>
      <c r="BB20" s="133" t="n">
        <v>10000</v>
      </c>
      <c r="BC20" s="133" t="n">
        <v>10000</v>
      </c>
      <c r="BD20" s="133" t="n">
        <v>10000</v>
      </c>
      <c r="BE20" s="133" t="n">
        <v>10000</v>
      </c>
      <c r="BF20" s="133" t="n">
        <v>10000</v>
      </c>
      <c r="BG20" s="133" t="n">
        <v>10000</v>
      </c>
      <c r="BH20" s="133" t="n">
        <v>10000</v>
      </c>
      <c r="BI20" s="133" t="n">
        <v>10000</v>
      </c>
    </row>
    <row r="21">
      <c r="A21" s="38" t="inlineStr">
        <is>
          <t>External Legal Cousel - 1031</t>
        </is>
      </c>
      <c r="B21" s="133" t="n">
        <v>0</v>
      </c>
      <c r="C21" s="133" t="n">
        <v>0</v>
      </c>
      <c r="D21" s="133" t="n">
        <v>0</v>
      </c>
      <c r="E21" s="133" t="n">
        <v>0</v>
      </c>
      <c r="F21" s="133" t="n">
        <v>0</v>
      </c>
      <c r="G21" s="133" t="n">
        <v>0</v>
      </c>
      <c r="H21" s="133" t="n">
        <v>0</v>
      </c>
      <c r="I21" s="133" t="n">
        <v>0</v>
      </c>
      <c r="J21" s="133" t="n">
        <v>5000</v>
      </c>
      <c r="K21" s="133" t="n">
        <v>10000</v>
      </c>
      <c r="L21" s="133" t="n">
        <v>0</v>
      </c>
      <c r="M21" s="133" t="n">
        <v>0</v>
      </c>
      <c r="N21" s="133" t="n">
        <v>10000</v>
      </c>
      <c r="O21" s="133" t="n">
        <v>0</v>
      </c>
      <c r="P21" s="133" t="n">
        <v>0</v>
      </c>
      <c r="Q21" s="133" t="n">
        <v>10000</v>
      </c>
      <c r="R21" s="133" t="n">
        <v>0</v>
      </c>
      <c r="S21" s="133" t="n">
        <v>0</v>
      </c>
      <c r="T21" s="133" t="n">
        <v>10000</v>
      </c>
      <c r="U21" s="133" t="n">
        <v>0</v>
      </c>
      <c r="V21" s="133" t="n">
        <v>0</v>
      </c>
      <c r="W21" s="133" t="n">
        <v>0</v>
      </c>
      <c r="X21" s="133" t="n">
        <v>0</v>
      </c>
      <c r="Y21" s="133" t="n">
        <v>10000</v>
      </c>
      <c r="Z21" s="133" t="n">
        <v>0</v>
      </c>
      <c r="AA21" s="133" t="n">
        <v>0</v>
      </c>
      <c r="AB21" s="133" t="n">
        <v>10000</v>
      </c>
      <c r="AC21" s="133" t="n">
        <v>0</v>
      </c>
      <c r="AD21" s="133" t="n">
        <v>0</v>
      </c>
      <c r="AE21" s="133" t="n">
        <v>0</v>
      </c>
      <c r="AF21" s="133" t="n">
        <v>0</v>
      </c>
      <c r="AG21" s="133" t="n">
        <v>10000</v>
      </c>
      <c r="AH21" s="133" t="n">
        <v>0</v>
      </c>
      <c r="AI21" s="133" t="n">
        <v>0</v>
      </c>
      <c r="AJ21" s="133" t="n">
        <v>10000</v>
      </c>
      <c r="AK21" s="133" t="n">
        <v>0</v>
      </c>
      <c r="AL21" s="133" t="n">
        <v>0</v>
      </c>
      <c r="AM21" s="133" t="n">
        <v>10000</v>
      </c>
      <c r="AN21" s="133" t="n">
        <v>0</v>
      </c>
      <c r="AO21" s="133" t="n">
        <v>0</v>
      </c>
      <c r="AP21" s="133" t="n">
        <v>10000</v>
      </c>
      <c r="AQ21" s="133" t="n">
        <v>0</v>
      </c>
      <c r="AR21" s="133" t="n">
        <v>0</v>
      </c>
      <c r="AS21" s="133" t="n">
        <v>0</v>
      </c>
      <c r="AT21" s="133" t="n">
        <v>0</v>
      </c>
      <c r="AU21" s="133" t="n">
        <v>10000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External Legal Counsel - Trusts</t>
        </is>
      </c>
      <c r="B22" s="133" t="n">
        <v>0</v>
      </c>
      <c r="C22" s="133" t="n">
        <v>0</v>
      </c>
      <c r="D22" s="133" t="n">
        <v>0</v>
      </c>
      <c r="E22" s="133" t="n">
        <v>0</v>
      </c>
      <c r="F22" s="133" t="n">
        <v>0</v>
      </c>
      <c r="G22" s="133" t="n">
        <v>0</v>
      </c>
      <c r="H22" s="133" t="n">
        <v>0</v>
      </c>
      <c r="I22" s="133" t="n">
        <v>0</v>
      </c>
      <c r="J22" s="133" t="n">
        <v>5000</v>
      </c>
      <c r="K22" s="133" t="n">
        <v>2500</v>
      </c>
      <c r="L22" s="133" t="n">
        <v>0</v>
      </c>
      <c r="M22" s="133" t="n">
        <v>0</v>
      </c>
      <c r="N22" s="133" t="n">
        <v>2500</v>
      </c>
      <c r="O22" s="133" t="n">
        <v>0</v>
      </c>
      <c r="P22" s="133" t="n">
        <v>0</v>
      </c>
      <c r="Q22" s="133" t="n">
        <v>2500</v>
      </c>
      <c r="R22" s="133" t="n">
        <v>0</v>
      </c>
      <c r="S22" s="133" t="n">
        <v>0</v>
      </c>
      <c r="T22" s="133" t="n">
        <v>2500</v>
      </c>
      <c r="U22" s="133" t="n">
        <v>0</v>
      </c>
      <c r="V22" s="133" t="n">
        <v>0</v>
      </c>
      <c r="W22" s="133" t="n">
        <v>0</v>
      </c>
      <c r="X22" s="133" t="n">
        <v>0</v>
      </c>
      <c r="Y22" s="133" t="n">
        <v>2500</v>
      </c>
      <c r="Z22" s="133" t="n">
        <v>0</v>
      </c>
      <c r="AA22" s="133" t="n">
        <v>0</v>
      </c>
      <c r="AB22" s="133" t="n">
        <v>2500</v>
      </c>
      <c r="AC22" s="133" t="n">
        <v>0</v>
      </c>
      <c r="AD22" s="133" t="n">
        <v>0</v>
      </c>
      <c r="AE22" s="133" t="n">
        <v>0</v>
      </c>
      <c r="AF22" s="133" t="n">
        <v>0</v>
      </c>
      <c r="AG22" s="133" t="n">
        <v>2500</v>
      </c>
      <c r="AH22" s="133" t="n">
        <v>0</v>
      </c>
      <c r="AI22" s="133" t="n">
        <v>0</v>
      </c>
      <c r="AJ22" s="133" t="n">
        <v>2500</v>
      </c>
      <c r="AK22" s="133" t="n">
        <v>0</v>
      </c>
      <c r="AL22" s="133" t="n">
        <v>0</v>
      </c>
      <c r="AM22" s="133" t="n">
        <v>2500</v>
      </c>
      <c r="AN22" s="133" t="n">
        <v>0</v>
      </c>
      <c r="AO22" s="133" t="n">
        <v>0</v>
      </c>
      <c r="AP22" s="133" t="n">
        <v>2500</v>
      </c>
      <c r="AQ22" s="133" t="n">
        <v>0</v>
      </c>
      <c r="AR22" s="133" t="n">
        <v>0</v>
      </c>
      <c r="AS22" s="133" t="n">
        <v>0</v>
      </c>
      <c r="AT22" s="133" t="n">
        <v>0</v>
      </c>
      <c r="AU22" s="133" t="n">
        <v>2500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Tech Dev Vendor (RA LLC)</t>
        </is>
      </c>
      <c r="B23" s="133" t="n">
        <v>0</v>
      </c>
      <c r="C23" s="133" t="n">
        <v>0</v>
      </c>
      <c r="D23" s="133" t="n">
        <v>0</v>
      </c>
      <c r="E23" s="133" t="n">
        <v>0</v>
      </c>
      <c r="F23" s="133" t="n">
        <v>0</v>
      </c>
      <c r="G23" s="133" t="n">
        <v>0</v>
      </c>
      <c r="H23" s="133" t="n">
        <v>0</v>
      </c>
      <c r="I23" s="133" t="n">
        <v>0</v>
      </c>
      <c r="J23" s="133" t="n">
        <v>0</v>
      </c>
      <c r="K23" s="133" t="n">
        <v>0</v>
      </c>
      <c r="L23" s="133" t="n">
        <v>0</v>
      </c>
      <c r="M23" s="133" t="n">
        <v>0</v>
      </c>
      <c r="N23" s="133" t="n">
        <v>20000</v>
      </c>
      <c r="O23" s="133" t="n">
        <v>20000</v>
      </c>
      <c r="P23" s="133" t="n">
        <v>20000</v>
      </c>
      <c r="Q23" s="133" t="n">
        <v>20000</v>
      </c>
      <c r="R23" s="133" t="n">
        <v>20000</v>
      </c>
      <c r="S23" s="133" t="n">
        <v>20000</v>
      </c>
      <c r="T23" s="133" t="n">
        <v>20000</v>
      </c>
      <c r="U23" s="133" t="n">
        <v>20000</v>
      </c>
      <c r="V23" s="133" t="n">
        <v>20000</v>
      </c>
      <c r="W23" s="133" t="n">
        <v>20000</v>
      </c>
      <c r="X23" s="133" t="n">
        <v>20000</v>
      </c>
      <c r="Y23" s="133" t="n">
        <v>20000</v>
      </c>
      <c r="Z23" s="133" t="n">
        <v>5000</v>
      </c>
      <c r="AA23" s="133" t="n">
        <v>5000</v>
      </c>
      <c r="AB23" s="133" t="n">
        <v>5000</v>
      </c>
      <c r="AC23" s="133" t="n">
        <v>5000</v>
      </c>
      <c r="AD23" s="133" t="n">
        <v>5000</v>
      </c>
      <c r="AE23" s="133" t="n">
        <v>5000</v>
      </c>
      <c r="AF23" s="133" t="n">
        <v>5000</v>
      </c>
      <c r="AG23" s="133" t="n">
        <v>5000</v>
      </c>
      <c r="AH23" s="133" t="n">
        <v>5000</v>
      </c>
      <c r="AI23" s="133" t="n">
        <v>5000</v>
      </c>
      <c r="AJ23" s="133" t="n">
        <v>5000</v>
      </c>
      <c r="AK23" s="133" t="n">
        <v>5000</v>
      </c>
      <c r="AL23" s="133" t="n">
        <v>5000</v>
      </c>
      <c r="AM23" s="133" t="n">
        <v>5000</v>
      </c>
      <c r="AN23" s="133" t="n">
        <v>5000</v>
      </c>
      <c r="AO23" s="133" t="n">
        <v>5000</v>
      </c>
      <c r="AP23" s="133" t="n">
        <v>5000</v>
      </c>
      <c r="AQ23" s="133" t="n">
        <v>5000</v>
      </c>
      <c r="AR23" s="133" t="n">
        <v>5000</v>
      </c>
      <c r="AS23" s="133" t="n">
        <v>5000</v>
      </c>
      <c r="AT23" s="133" t="n">
        <v>5000</v>
      </c>
      <c r="AU23" s="133" t="n">
        <v>5000</v>
      </c>
      <c r="AV23" s="133" t="n">
        <v>5000</v>
      </c>
      <c r="AW23" s="133" t="n">
        <v>5000</v>
      </c>
      <c r="AX23" s="133" t="n">
        <v>5000</v>
      </c>
      <c r="AY23" s="133" t="n">
        <v>5000</v>
      </c>
      <c r="AZ23" s="133" t="n">
        <v>5000</v>
      </c>
      <c r="BA23" s="133" t="n">
        <v>5000</v>
      </c>
      <c r="BB23" s="133" t="n">
        <v>5000</v>
      </c>
      <c r="BC23" s="133" t="n">
        <v>5000</v>
      </c>
      <c r="BD23" s="133" t="n">
        <v>5000</v>
      </c>
      <c r="BE23" s="133" t="n">
        <v>5000</v>
      </c>
      <c r="BF23" s="133" t="n">
        <v>5000</v>
      </c>
      <c r="BG23" s="133" t="n">
        <v>5000</v>
      </c>
      <c r="BH23" s="133" t="n">
        <v>5000</v>
      </c>
      <c r="BI23" s="133" t="n">
        <v>5000</v>
      </c>
    </row>
    <row r="24">
      <c r="A24" s="38" t="inlineStr">
        <is>
          <t>KYC / AML Provider</t>
        </is>
      </c>
      <c r="B24" s="133" t="n">
        <v>0</v>
      </c>
      <c r="C24" s="133" t="n">
        <v>0</v>
      </c>
      <c r="D24" s="133" t="n">
        <v>0</v>
      </c>
      <c r="E24" s="133" t="n">
        <v>0</v>
      </c>
      <c r="F24" s="133" t="n">
        <v>0</v>
      </c>
      <c r="G24" s="133" t="n">
        <v>0</v>
      </c>
      <c r="H24" s="133" t="n">
        <v>0</v>
      </c>
      <c r="I24" s="133" t="n">
        <v>0</v>
      </c>
      <c r="J24" s="133" t="n">
        <v>0</v>
      </c>
      <c r="K24" s="133" t="n">
        <v>2500</v>
      </c>
      <c r="L24" s="133" t="n">
        <v>5000</v>
      </c>
      <c r="M24" s="133" t="n">
        <v>5000</v>
      </c>
      <c r="N24" s="133" t="n">
        <v>5000</v>
      </c>
      <c r="O24" s="133" t="n">
        <v>5000</v>
      </c>
      <c r="P24" s="133" t="n">
        <v>5000</v>
      </c>
      <c r="Q24" s="133" t="n">
        <v>5000</v>
      </c>
      <c r="R24" s="133" t="n">
        <v>5000</v>
      </c>
      <c r="S24" s="133" t="n">
        <v>5000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Event Participation &amp; Sponsorship</t>
        </is>
      </c>
      <c r="B25" s="133" t="n">
        <v>0</v>
      </c>
      <c r="C25" s="133" t="n">
        <v>0</v>
      </c>
      <c r="D25" s="133" t="n">
        <v>0</v>
      </c>
      <c r="E25" s="133" t="n">
        <v>0</v>
      </c>
      <c r="F25" s="133" t="n">
        <v>0</v>
      </c>
      <c r="G25" s="133" t="n">
        <v>0</v>
      </c>
      <c r="H25" s="133" t="n">
        <v>0</v>
      </c>
      <c r="I25" s="133" t="n">
        <v>0</v>
      </c>
      <c r="J25" s="133" t="n">
        <v>0</v>
      </c>
      <c r="K25" s="133" t="n">
        <v>0</v>
      </c>
      <c r="L25" s="133" t="n">
        <v>10000</v>
      </c>
      <c r="M25" s="133" t="n">
        <v>10000</v>
      </c>
      <c r="N25" s="133" t="n">
        <v>10000</v>
      </c>
      <c r="O25" s="133" t="n">
        <v>10000</v>
      </c>
      <c r="P25" s="133" t="n">
        <v>10000</v>
      </c>
      <c r="Q25" s="133" t="n">
        <v>10000</v>
      </c>
      <c r="R25" s="133" t="n">
        <v>10000</v>
      </c>
      <c r="S25" s="133" t="n">
        <v>10000</v>
      </c>
      <c r="T25" s="133" t="n">
        <v>10000</v>
      </c>
      <c r="U25" s="133" t="n">
        <v>10000</v>
      </c>
      <c r="V25" s="133" t="n">
        <v>10000</v>
      </c>
      <c r="W25" s="133" t="n">
        <v>10000</v>
      </c>
      <c r="X25" s="133" t="n">
        <v>10000</v>
      </c>
      <c r="Y25" s="133" t="n">
        <v>10000</v>
      </c>
      <c r="Z25" s="133" t="n">
        <v>25000</v>
      </c>
      <c r="AA25" s="133" t="n">
        <v>25000</v>
      </c>
      <c r="AB25" s="133" t="n">
        <v>25000</v>
      </c>
      <c r="AC25" s="133" t="n">
        <v>25000</v>
      </c>
      <c r="AD25" s="133" t="n">
        <v>25000</v>
      </c>
      <c r="AE25" s="133" t="n">
        <v>25000</v>
      </c>
      <c r="AF25" s="133" t="n">
        <v>25000</v>
      </c>
      <c r="AG25" s="133" t="n">
        <v>25000</v>
      </c>
      <c r="AH25" s="133" t="n">
        <v>25000</v>
      </c>
      <c r="AI25" s="133" t="n">
        <v>25000</v>
      </c>
      <c r="AJ25" s="133" t="n">
        <v>25000</v>
      </c>
      <c r="AK25" s="133" t="n">
        <v>25000</v>
      </c>
      <c r="AL25" s="133" t="n">
        <v>25000</v>
      </c>
      <c r="AM25" s="133" t="n">
        <v>25000</v>
      </c>
      <c r="AN25" s="133" t="n">
        <v>25000</v>
      </c>
      <c r="AO25" s="133" t="n">
        <v>25000</v>
      </c>
      <c r="AP25" s="133" t="n">
        <v>25000</v>
      </c>
      <c r="AQ25" s="133" t="n">
        <v>25000</v>
      </c>
      <c r="AR25" s="133" t="n">
        <v>25000</v>
      </c>
      <c r="AS25" s="133" t="n">
        <v>25000</v>
      </c>
      <c r="AT25" s="133" t="n">
        <v>25000</v>
      </c>
      <c r="AU25" s="133" t="n">
        <v>25000</v>
      </c>
      <c r="AV25" s="133" t="n">
        <v>25000</v>
      </c>
      <c r="AW25" s="133" t="n">
        <v>25000</v>
      </c>
      <c r="AX25" s="133" t="n">
        <v>25000</v>
      </c>
      <c r="AY25" s="133" t="n">
        <v>25000</v>
      </c>
      <c r="AZ25" s="133" t="n">
        <v>25000</v>
      </c>
      <c r="BA25" s="133" t="n">
        <v>25000</v>
      </c>
      <c r="BB25" s="133" t="n">
        <v>25000</v>
      </c>
      <c r="BC25" s="133" t="n">
        <v>25000</v>
      </c>
      <c r="BD25" s="133" t="n">
        <v>25000</v>
      </c>
      <c r="BE25" s="133" t="n">
        <v>25000</v>
      </c>
      <c r="BF25" s="133" t="n">
        <v>25000</v>
      </c>
      <c r="BG25" s="133" t="n">
        <v>25000</v>
      </c>
      <c r="BH25" s="133" t="n">
        <v>25000</v>
      </c>
      <c r="BI25" s="133" t="n">
        <v>25000</v>
      </c>
    </row>
    <row r="26">
      <c r="A26" s="38" t="inlineStr">
        <is>
          <t>Video + Motion Graphics Production</t>
        </is>
      </c>
      <c r="B26" s="133" t="n">
        <v>0</v>
      </c>
      <c r="C26" s="133" t="n">
        <v>0</v>
      </c>
      <c r="D26" s="133" t="n">
        <v>0</v>
      </c>
      <c r="E26" s="133" t="n">
        <v>0</v>
      </c>
      <c r="F26" s="133" t="n">
        <v>0</v>
      </c>
      <c r="G26" s="133" t="n">
        <v>0</v>
      </c>
      <c r="H26" s="133" t="n">
        <v>0</v>
      </c>
      <c r="I26" s="133" t="n">
        <v>0</v>
      </c>
      <c r="J26" s="133" t="n">
        <v>0</v>
      </c>
      <c r="K26" s="133" t="n">
        <v>5000</v>
      </c>
      <c r="L26" s="133" t="n">
        <v>10000</v>
      </c>
      <c r="M26" s="133" t="n">
        <v>10000</v>
      </c>
      <c r="N26" s="133" t="n">
        <v>5000</v>
      </c>
      <c r="O26" s="133" t="n">
        <v>10000</v>
      </c>
      <c r="P26" s="133" t="n">
        <v>10000</v>
      </c>
      <c r="Q26" s="133" t="n">
        <v>10000</v>
      </c>
      <c r="R26" s="133" t="n">
        <v>10000</v>
      </c>
      <c r="S26" s="133" t="n">
        <v>10000</v>
      </c>
      <c r="T26" s="133" t="n">
        <v>10000</v>
      </c>
      <c r="U26" s="133" t="n">
        <v>10000</v>
      </c>
      <c r="V26" s="133" t="n">
        <v>10000</v>
      </c>
      <c r="W26" s="133" t="n">
        <v>10000</v>
      </c>
      <c r="X26" s="133" t="n">
        <v>10000</v>
      </c>
      <c r="Y26" s="133" t="n">
        <v>10000</v>
      </c>
      <c r="Z26" s="133" t="n">
        <v>10000</v>
      </c>
      <c r="AA26" s="133" t="n">
        <v>10000</v>
      </c>
      <c r="AB26" s="133" t="n">
        <v>10000</v>
      </c>
      <c r="AC26" s="133" t="n">
        <v>10000</v>
      </c>
      <c r="AD26" s="133" t="n">
        <v>10000</v>
      </c>
      <c r="AE26" s="133" t="n">
        <v>10000</v>
      </c>
      <c r="AF26" s="133" t="n">
        <v>10000</v>
      </c>
      <c r="AG26" s="133" t="n">
        <v>10000</v>
      </c>
      <c r="AH26" s="133" t="n">
        <v>10000</v>
      </c>
      <c r="AI26" s="133" t="n">
        <v>10000</v>
      </c>
      <c r="AJ26" s="133" t="n">
        <v>10000</v>
      </c>
      <c r="AK26" s="133" t="n">
        <v>10000</v>
      </c>
      <c r="AL26" s="133" t="n">
        <v>10000</v>
      </c>
      <c r="AM26" s="133" t="n">
        <v>10000</v>
      </c>
      <c r="AN26" s="133" t="n">
        <v>10000</v>
      </c>
      <c r="AO26" s="133" t="n">
        <v>10000</v>
      </c>
      <c r="AP26" s="133" t="n">
        <v>10000</v>
      </c>
      <c r="AQ26" s="133" t="n">
        <v>10000</v>
      </c>
      <c r="AR26" s="133" t="n">
        <v>10000</v>
      </c>
      <c r="AS26" s="133" t="n">
        <v>10000</v>
      </c>
      <c r="AT26" s="133" t="n">
        <v>10000</v>
      </c>
      <c r="AU26" s="133" t="n">
        <v>10000</v>
      </c>
      <c r="AV26" s="133" t="n">
        <v>10000</v>
      </c>
      <c r="AW26" s="133" t="n">
        <v>10000</v>
      </c>
      <c r="AX26" s="133" t="n">
        <v>10000</v>
      </c>
      <c r="AY26" s="133" t="n">
        <v>10000</v>
      </c>
      <c r="AZ26" s="133" t="n">
        <v>10000</v>
      </c>
      <c r="BA26" s="133" t="n">
        <v>10000</v>
      </c>
      <c r="BB26" s="133" t="n">
        <v>10000</v>
      </c>
      <c r="BC26" s="133" t="n">
        <v>10000</v>
      </c>
      <c r="BD26" s="133" t="n">
        <v>10000</v>
      </c>
      <c r="BE26" s="133" t="n">
        <v>10000</v>
      </c>
      <c r="BF26" s="133" t="n">
        <v>10000</v>
      </c>
      <c r="BG26" s="133" t="n">
        <v>10000</v>
      </c>
      <c r="BH26" s="133" t="n">
        <v>10000</v>
      </c>
      <c r="BI26" s="133" t="n">
        <v>10000</v>
      </c>
    </row>
    <row r="27">
      <c r="A27" s="38" t="inlineStr">
        <is>
          <t>Shwag (handouts, t-shirts, etc)</t>
        </is>
      </c>
      <c r="B27" s="133" t="n">
        <v>0</v>
      </c>
      <c r="C27" s="133" t="n">
        <v>0</v>
      </c>
      <c r="D27" s="133" t="n">
        <v>0</v>
      </c>
      <c r="E27" s="133" t="n">
        <v>0</v>
      </c>
      <c r="F27" s="133" t="n">
        <v>0</v>
      </c>
      <c r="G27" s="133" t="n">
        <v>0</v>
      </c>
      <c r="H27" s="133" t="n">
        <v>0</v>
      </c>
      <c r="I27" s="133" t="n">
        <v>0</v>
      </c>
      <c r="J27" s="133" t="n">
        <v>1000</v>
      </c>
      <c r="K27" s="133" t="n">
        <v>0</v>
      </c>
      <c r="L27" s="133" t="n">
        <v>0</v>
      </c>
      <c r="M27" s="133" t="n">
        <v>0</v>
      </c>
      <c r="N27" s="133" t="n">
        <v>2500</v>
      </c>
      <c r="O27" s="133" t="n">
        <v>0</v>
      </c>
      <c r="P27" s="133" t="n">
        <v>0</v>
      </c>
      <c r="Q27" s="133" t="n">
        <v>2500</v>
      </c>
      <c r="R27" s="133" t="n">
        <v>0</v>
      </c>
      <c r="S27" s="133" t="n">
        <v>0</v>
      </c>
      <c r="T27" s="133" t="n">
        <v>2500</v>
      </c>
      <c r="U27" s="133" t="n">
        <v>0</v>
      </c>
      <c r="V27" s="133" t="n">
        <v>0</v>
      </c>
      <c r="W27" s="133" t="n">
        <v>2500</v>
      </c>
      <c r="X27" s="133" t="n">
        <v>0</v>
      </c>
      <c r="Y27" s="133" t="n">
        <v>0</v>
      </c>
      <c r="Z27" s="133" t="n">
        <v>2500</v>
      </c>
      <c r="AA27" s="133" t="n">
        <v>0</v>
      </c>
      <c r="AB27" s="133" t="n">
        <v>0</v>
      </c>
      <c r="AC27" s="133" t="n">
        <v>2500</v>
      </c>
      <c r="AD27" s="133" t="n">
        <v>0</v>
      </c>
      <c r="AE27" s="133" t="n">
        <v>0</v>
      </c>
      <c r="AF27" s="133" t="n">
        <v>2500</v>
      </c>
      <c r="AG27" s="133" t="n">
        <v>0</v>
      </c>
      <c r="AH27" s="133" t="n">
        <v>0</v>
      </c>
      <c r="AI27" s="133" t="n">
        <v>2500</v>
      </c>
      <c r="AJ27" s="133" t="n">
        <v>0</v>
      </c>
      <c r="AK27" s="133" t="n">
        <v>0</v>
      </c>
      <c r="AL27" s="133" t="n">
        <v>5000</v>
      </c>
      <c r="AM27" s="133" t="n">
        <v>0</v>
      </c>
      <c r="AN27" s="133" t="n">
        <v>0</v>
      </c>
      <c r="AO27" s="133" t="n">
        <v>5000</v>
      </c>
      <c r="AP27" s="133" t="n">
        <v>0</v>
      </c>
      <c r="AQ27" s="133" t="n">
        <v>0</v>
      </c>
      <c r="AR27" s="133" t="n">
        <v>5000</v>
      </c>
      <c r="AS27" s="133" t="n">
        <v>0</v>
      </c>
      <c r="AT27" s="133" t="n">
        <v>0</v>
      </c>
      <c r="AU27" s="133" t="n">
        <v>5000</v>
      </c>
      <c r="AV27" s="133" t="n">
        <v>0</v>
      </c>
      <c r="AW27" s="133" t="n">
        <v>0</v>
      </c>
      <c r="AX27" s="133" t="n">
        <v>5000</v>
      </c>
      <c r="AY27" s="133" t="n">
        <v>0</v>
      </c>
      <c r="AZ27" s="133" t="n">
        <v>0</v>
      </c>
      <c r="BA27" s="133" t="n">
        <v>5000</v>
      </c>
      <c r="BB27" s="133" t="n">
        <v>0</v>
      </c>
      <c r="BC27" s="133" t="n">
        <v>0</v>
      </c>
      <c r="BD27" s="133" t="n">
        <v>5000</v>
      </c>
      <c r="BE27" s="133" t="n">
        <v>0</v>
      </c>
      <c r="BF27" s="133" t="n">
        <v>0</v>
      </c>
      <c r="BG27" s="133" t="n">
        <v>5000</v>
      </c>
      <c r="BH27" s="133" t="n">
        <v>0</v>
      </c>
      <c r="BI27" s="133" t="n">
        <v>0</v>
      </c>
    </row>
    <row r="28">
      <c r="A28" s="38" t="inlineStr">
        <is>
          <t>Tech Infrastructure, Hardware, Software</t>
        </is>
      </c>
      <c r="B28" s="133" t="n">
        <v>0</v>
      </c>
      <c r="C28" s="133" t="n">
        <v>0</v>
      </c>
      <c r="D28" s="133" t="n">
        <v>0</v>
      </c>
      <c r="E28" s="133" t="n">
        <v>0</v>
      </c>
      <c r="F28" s="133" t="n">
        <v>0</v>
      </c>
      <c r="G28" s="133" t="n">
        <v>0</v>
      </c>
      <c r="H28" s="133" t="n">
        <v>0</v>
      </c>
      <c r="I28" s="133" t="n">
        <v>0</v>
      </c>
      <c r="J28" s="133" t="n">
        <v>750</v>
      </c>
      <c r="K28" s="133" t="n">
        <v>1000</v>
      </c>
      <c r="L28" s="133" t="n">
        <v>2500</v>
      </c>
      <c r="M28" s="133" t="n">
        <v>2500</v>
      </c>
      <c r="N28" s="133" t="n">
        <v>5000</v>
      </c>
      <c r="O28" s="133" t="n">
        <v>5000</v>
      </c>
      <c r="P28" s="133" t="n">
        <v>5000</v>
      </c>
      <c r="Q28" s="133" t="n">
        <v>5000</v>
      </c>
      <c r="R28" s="133" t="n">
        <v>5000</v>
      </c>
      <c r="S28" s="133" t="n">
        <v>5000</v>
      </c>
      <c r="T28" s="133" t="n">
        <v>5000</v>
      </c>
      <c r="U28" s="133" t="n">
        <v>5000</v>
      </c>
      <c r="V28" s="133" t="n">
        <v>5000</v>
      </c>
      <c r="W28" s="133" t="n">
        <v>5000</v>
      </c>
      <c r="X28" s="133" t="n">
        <v>5000</v>
      </c>
      <c r="Y28" s="133" t="n">
        <v>5000</v>
      </c>
      <c r="Z28" s="133" t="n">
        <v>5000</v>
      </c>
      <c r="AA28" s="133" t="n">
        <v>5000</v>
      </c>
      <c r="AB28" s="133" t="n">
        <v>5000</v>
      </c>
      <c r="AC28" s="133" t="n">
        <v>5000</v>
      </c>
      <c r="AD28" s="133" t="n">
        <v>5000</v>
      </c>
      <c r="AE28" s="133" t="n">
        <v>5000</v>
      </c>
      <c r="AF28" s="133" t="n">
        <v>5000</v>
      </c>
      <c r="AG28" s="133" t="n">
        <v>5000</v>
      </c>
      <c r="AH28" s="133" t="n">
        <v>5000</v>
      </c>
      <c r="AI28" s="133" t="n">
        <v>5000</v>
      </c>
      <c r="AJ28" s="133" t="n">
        <v>5000</v>
      </c>
      <c r="AK28" s="133" t="n">
        <v>5000</v>
      </c>
      <c r="AL28" s="133" t="n">
        <v>5000</v>
      </c>
      <c r="AM28" s="133" t="n">
        <v>5000</v>
      </c>
      <c r="AN28" s="133" t="n">
        <v>5000</v>
      </c>
      <c r="AO28" s="133" t="n">
        <v>5000</v>
      </c>
      <c r="AP28" s="133" t="n">
        <v>5000</v>
      </c>
      <c r="AQ28" s="133" t="n">
        <v>5000</v>
      </c>
      <c r="AR28" s="133" t="n">
        <v>5000</v>
      </c>
      <c r="AS28" s="133" t="n">
        <v>5000</v>
      </c>
      <c r="AT28" s="133" t="n">
        <v>5000</v>
      </c>
      <c r="AU28" s="133" t="n">
        <v>5000</v>
      </c>
      <c r="AV28" s="133" t="n">
        <v>5000</v>
      </c>
      <c r="AW28" s="133" t="n">
        <v>5000</v>
      </c>
      <c r="AX28" s="133" t="n">
        <v>5000</v>
      </c>
      <c r="AY28" s="133" t="n">
        <v>5000</v>
      </c>
      <c r="AZ28" s="133" t="n">
        <v>5000</v>
      </c>
      <c r="BA28" s="133" t="n">
        <v>5000</v>
      </c>
      <c r="BB28" s="133" t="n">
        <v>5000</v>
      </c>
      <c r="BC28" s="133" t="n">
        <v>5000</v>
      </c>
      <c r="BD28" s="133" t="n">
        <v>5000</v>
      </c>
      <c r="BE28" s="133" t="n">
        <v>5000</v>
      </c>
      <c r="BF28" s="133" t="n">
        <v>5000</v>
      </c>
      <c r="BG28" s="133" t="n">
        <v>5000</v>
      </c>
      <c r="BH28" s="133" t="n">
        <v>5000</v>
      </c>
      <c r="BI28" s="133" t="n">
        <v>5000</v>
      </c>
    </row>
    <row r="29">
      <c r="A29" s="38" t="inlineStr">
        <is>
          <t>External Accounting Counsel</t>
        </is>
      </c>
      <c r="B29" s="133" t="n">
        <v>0</v>
      </c>
      <c r="C29" s="133" t="n">
        <v>0</v>
      </c>
      <c r="D29" s="133" t="n">
        <v>0</v>
      </c>
      <c r="E29" s="133" t="n">
        <v>0</v>
      </c>
      <c r="F29" s="133" t="n">
        <v>0</v>
      </c>
      <c r="G29" s="133" t="n">
        <v>0</v>
      </c>
      <c r="H29" s="133" t="n">
        <v>0</v>
      </c>
      <c r="I29" s="133" t="n">
        <v>0</v>
      </c>
      <c r="J29" s="133" t="n">
        <v>2500</v>
      </c>
      <c r="K29" s="133" t="n">
        <v>2500</v>
      </c>
      <c r="L29" s="133" t="n">
        <v>0</v>
      </c>
      <c r="M29" s="133" t="n">
        <v>0</v>
      </c>
      <c r="N29" s="133" t="n">
        <v>10000</v>
      </c>
      <c r="O29" s="133" t="n">
        <v>0</v>
      </c>
      <c r="P29" s="133" t="n">
        <v>0</v>
      </c>
      <c r="Q29" s="133" t="n">
        <v>0</v>
      </c>
      <c r="R29" s="133" t="n">
        <v>0</v>
      </c>
      <c r="S29" s="133" t="n">
        <v>0</v>
      </c>
      <c r="T29" s="133" t="n">
        <v>0</v>
      </c>
      <c r="U29" s="133" t="n">
        <v>0</v>
      </c>
      <c r="V29" s="133" t="n">
        <v>0</v>
      </c>
      <c r="W29" s="133" t="n">
        <v>0</v>
      </c>
      <c r="X29" s="133" t="n">
        <v>0</v>
      </c>
      <c r="Y29" s="133" t="n">
        <v>0</v>
      </c>
      <c r="Z29" s="133" t="n">
        <v>10000</v>
      </c>
      <c r="AA29" s="133" t="n">
        <v>0</v>
      </c>
      <c r="AB29" s="133" t="n">
        <v>0</v>
      </c>
      <c r="AC29" s="133" t="n">
        <v>0</v>
      </c>
      <c r="AD29" s="133" t="n">
        <v>0</v>
      </c>
      <c r="AE29" s="133" t="n">
        <v>0</v>
      </c>
      <c r="AF29" s="133" t="n">
        <v>0</v>
      </c>
      <c r="AG29" s="133" t="n">
        <v>0</v>
      </c>
      <c r="AH29" s="133" t="n">
        <v>0</v>
      </c>
      <c r="AI29" s="133" t="n">
        <v>0</v>
      </c>
      <c r="AJ29" s="133" t="n">
        <v>0</v>
      </c>
      <c r="AK29" s="133" t="n">
        <v>0</v>
      </c>
      <c r="AL29" s="133" t="n">
        <v>10000</v>
      </c>
      <c r="AM29" s="133" t="n">
        <v>0</v>
      </c>
      <c r="AN29" s="133" t="n">
        <v>0</v>
      </c>
      <c r="AO29" s="133" t="n">
        <v>0</v>
      </c>
      <c r="AP29" s="133" t="n">
        <v>0</v>
      </c>
      <c r="AQ29" s="133" t="n">
        <v>0</v>
      </c>
      <c r="AR29" s="133" t="n">
        <v>0</v>
      </c>
      <c r="AS29" s="133" t="n">
        <v>0</v>
      </c>
      <c r="AT29" s="133" t="n">
        <v>0</v>
      </c>
      <c r="AU29" s="133" t="n">
        <v>0</v>
      </c>
      <c r="AV29" s="133" t="n">
        <v>0</v>
      </c>
      <c r="AW29" s="133" t="n">
        <v>0</v>
      </c>
      <c r="AX29" s="133" t="n">
        <v>10000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Insurance (general, D&amp;O)</t>
        </is>
      </c>
      <c r="B30" s="133" t="n">
        <v>0</v>
      </c>
      <c r="C30" s="133" t="n">
        <v>0</v>
      </c>
      <c r="D30" s="133" t="n">
        <v>0</v>
      </c>
      <c r="E30" s="133" t="n">
        <v>0</v>
      </c>
      <c r="F30" s="133" t="n">
        <v>0</v>
      </c>
      <c r="G30" s="133" t="n">
        <v>0</v>
      </c>
      <c r="H30" s="133" t="n">
        <v>0</v>
      </c>
      <c r="I30" s="133" t="n">
        <v>0</v>
      </c>
      <c r="J30" s="133" t="n">
        <v>200</v>
      </c>
      <c r="K30" s="133" t="n">
        <v>200</v>
      </c>
      <c r="L30" s="133" t="n">
        <v>200</v>
      </c>
      <c r="M30" s="133" t="n">
        <v>200</v>
      </c>
      <c r="N30" s="133" t="n">
        <v>200</v>
      </c>
      <c r="O30" s="133" t="n">
        <v>200</v>
      </c>
      <c r="P30" s="133" t="n">
        <v>200</v>
      </c>
      <c r="Q30" s="133" t="n">
        <v>200</v>
      </c>
      <c r="R30" s="133" t="n">
        <v>200</v>
      </c>
      <c r="S30" s="133" t="n">
        <v>200</v>
      </c>
      <c r="T30" s="133" t="n">
        <v>200</v>
      </c>
      <c r="U30" s="133" t="n">
        <v>200</v>
      </c>
      <c r="V30" s="133" t="n">
        <v>200</v>
      </c>
      <c r="W30" s="133" t="n">
        <v>200</v>
      </c>
      <c r="X30" s="133" t="n">
        <v>200</v>
      </c>
      <c r="Y30" s="133" t="n">
        <v>200</v>
      </c>
      <c r="Z30" s="133" t="n">
        <v>200</v>
      </c>
      <c r="AA30" s="133" t="n">
        <v>200</v>
      </c>
      <c r="AB30" s="133" t="n">
        <v>200</v>
      </c>
      <c r="AC30" s="133" t="n">
        <v>200</v>
      </c>
      <c r="AD30" s="133" t="n">
        <v>200</v>
      </c>
      <c r="AE30" s="133" t="n">
        <v>200</v>
      </c>
      <c r="AF30" s="133" t="n">
        <v>200</v>
      </c>
      <c r="AG30" s="133" t="n">
        <v>200</v>
      </c>
      <c r="AH30" s="133" t="n">
        <v>200</v>
      </c>
      <c r="AI30" s="133" t="n">
        <v>200</v>
      </c>
      <c r="AJ30" s="133" t="n">
        <v>200</v>
      </c>
      <c r="AK30" s="133" t="n">
        <v>200</v>
      </c>
      <c r="AL30" s="133" t="n">
        <v>200</v>
      </c>
      <c r="AM30" s="133" t="n">
        <v>200</v>
      </c>
      <c r="AN30" s="133" t="n">
        <v>200</v>
      </c>
      <c r="AO30" s="133" t="n">
        <v>200</v>
      </c>
      <c r="AP30" s="133" t="n">
        <v>200</v>
      </c>
      <c r="AQ30" s="133" t="n">
        <v>200</v>
      </c>
      <c r="AR30" s="133" t="n">
        <v>200</v>
      </c>
      <c r="AS30" s="133" t="n">
        <v>200</v>
      </c>
      <c r="AT30" s="133" t="n">
        <v>200</v>
      </c>
      <c r="AU30" s="133" t="n">
        <v>200</v>
      </c>
      <c r="AV30" s="133" t="n">
        <v>200</v>
      </c>
      <c r="AW30" s="133" t="n">
        <v>200</v>
      </c>
      <c r="AX30" s="133" t="n">
        <v>200</v>
      </c>
      <c r="AY30" s="133" t="n">
        <v>200</v>
      </c>
      <c r="AZ30" s="133" t="n">
        <v>200</v>
      </c>
      <c r="BA30" s="133" t="n">
        <v>200</v>
      </c>
      <c r="BB30" s="133" t="n">
        <v>200</v>
      </c>
      <c r="BC30" s="133" t="n">
        <v>200</v>
      </c>
      <c r="BD30" s="133" t="n">
        <v>200</v>
      </c>
      <c r="BE30" s="133" t="n">
        <v>200</v>
      </c>
      <c r="BF30" s="133" t="n">
        <v>200</v>
      </c>
      <c r="BG30" s="133" t="n">
        <v>200</v>
      </c>
      <c r="BH30" s="133" t="n">
        <v>200</v>
      </c>
      <c r="BI30" s="133" t="n">
        <v>200</v>
      </c>
    </row>
    <row r="31">
      <c r="A31" s="38" t="inlineStr">
        <is>
          <t>Education &amp; Training</t>
        </is>
      </c>
      <c r="B31" s="133" t="n">
        <v>0</v>
      </c>
      <c r="C31" s="133" t="n">
        <v>0</v>
      </c>
      <c r="D31" s="133" t="n">
        <v>0</v>
      </c>
      <c r="E31" s="133" t="n">
        <v>0</v>
      </c>
      <c r="F31" s="133" t="n">
        <v>0</v>
      </c>
      <c r="G31" s="133" t="n">
        <v>0</v>
      </c>
      <c r="H31" s="133" t="n">
        <v>0</v>
      </c>
      <c r="I31" s="133" t="n">
        <v>0</v>
      </c>
      <c r="J31" s="133" t="n">
        <v>0</v>
      </c>
      <c r="K31" s="133" t="n">
        <v>0</v>
      </c>
      <c r="L31" s="133" t="n">
        <v>0</v>
      </c>
      <c r="M31" s="133" t="n">
        <v>0</v>
      </c>
      <c r="N31" s="133" t="n">
        <v>5000</v>
      </c>
      <c r="O31" s="133" t="n">
        <v>5000</v>
      </c>
      <c r="P31" s="133" t="n">
        <v>5000</v>
      </c>
      <c r="Q31" s="133" t="n">
        <v>5000</v>
      </c>
      <c r="R31" s="133" t="n">
        <v>5000</v>
      </c>
      <c r="S31" s="133" t="n">
        <v>5000</v>
      </c>
      <c r="T31" s="133" t="n">
        <v>5000</v>
      </c>
      <c r="U31" s="133" t="n">
        <v>5000</v>
      </c>
      <c r="V31" s="133" t="n">
        <v>5000</v>
      </c>
      <c r="W31" s="133" t="n">
        <v>5000</v>
      </c>
      <c r="X31" s="133" t="n">
        <v>5000</v>
      </c>
      <c r="Y31" s="133" t="n">
        <v>5000</v>
      </c>
      <c r="Z31" s="133" t="n">
        <v>7500</v>
      </c>
      <c r="AA31" s="133" t="n">
        <v>7500</v>
      </c>
      <c r="AB31" s="133" t="n">
        <v>7500</v>
      </c>
      <c r="AC31" s="133" t="n">
        <v>7500</v>
      </c>
      <c r="AD31" s="133" t="n">
        <v>7500</v>
      </c>
      <c r="AE31" s="133" t="n">
        <v>7500</v>
      </c>
      <c r="AF31" s="133" t="n">
        <v>7500</v>
      </c>
      <c r="AG31" s="133" t="n">
        <v>7500</v>
      </c>
      <c r="AH31" s="133" t="n">
        <v>7500</v>
      </c>
      <c r="AI31" s="133" t="n">
        <v>7500</v>
      </c>
      <c r="AJ31" s="133" t="n">
        <v>7500</v>
      </c>
      <c r="AK31" s="133" t="n">
        <v>7500</v>
      </c>
      <c r="AL31" s="133" t="n">
        <v>10000</v>
      </c>
      <c r="AM31" s="133" t="n">
        <v>10000</v>
      </c>
      <c r="AN31" s="133" t="n">
        <v>10000</v>
      </c>
      <c r="AO31" s="133" t="n">
        <v>10000</v>
      </c>
      <c r="AP31" s="133" t="n">
        <v>10000</v>
      </c>
      <c r="AQ31" s="133" t="n">
        <v>10000</v>
      </c>
      <c r="AR31" s="133" t="n">
        <v>10000</v>
      </c>
      <c r="AS31" s="133" t="n">
        <v>10000</v>
      </c>
      <c r="AT31" s="133" t="n">
        <v>10000</v>
      </c>
      <c r="AU31" s="133" t="n">
        <v>10000</v>
      </c>
      <c r="AV31" s="133" t="n">
        <v>10000</v>
      </c>
      <c r="AW31" s="133" t="n">
        <v>10000</v>
      </c>
      <c r="AX31" s="133" t="n">
        <v>10000</v>
      </c>
      <c r="AY31" s="133" t="n">
        <v>10000</v>
      </c>
      <c r="AZ31" s="133" t="n">
        <v>10000</v>
      </c>
      <c r="BA31" s="133" t="n">
        <v>10000</v>
      </c>
      <c r="BB31" s="133" t="n">
        <v>10000</v>
      </c>
      <c r="BC31" s="133" t="n">
        <v>10000</v>
      </c>
      <c r="BD31" s="133" t="n">
        <v>10000</v>
      </c>
      <c r="BE31" s="133" t="n">
        <v>10000</v>
      </c>
      <c r="BF31" s="133" t="n">
        <v>10000</v>
      </c>
      <c r="BG31" s="133" t="n">
        <v>10000</v>
      </c>
      <c r="BH31" s="133" t="n">
        <v>10000</v>
      </c>
      <c r="BI31" s="133" t="n">
        <v>10000</v>
      </c>
    </row>
    <row r="32">
      <c r="A32" s="38" t="inlineStr">
        <is>
          <t>Grants Program</t>
        </is>
      </c>
      <c r="B32" s="133" t="n">
        <v>0</v>
      </c>
      <c r="C32" s="133" t="n">
        <v>0</v>
      </c>
      <c r="D32" s="133" t="n">
        <v>0</v>
      </c>
      <c r="E32" s="133" t="n">
        <v>0</v>
      </c>
      <c r="F32" s="133" t="n">
        <v>0</v>
      </c>
      <c r="G32" s="133" t="n">
        <v>0</v>
      </c>
      <c r="H32" s="133" t="n">
        <v>0</v>
      </c>
      <c r="I32" s="133" t="n">
        <v>0</v>
      </c>
      <c r="J32" s="133" t="n">
        <v>0</v>
      </c>
      <c r="K32" s="133" t="n">
        <v>0</v>
      </c>
      <c r="L32" s="133" t="n">
        <v>0</v>
      </c>
      <c r="M32" s="133" t="n">
        <v>0</v>
      </c>
      <c r="N32" s="133" t="n">
        <v>0</v>
      </c>
      <c r="O32" s="133" t="n">
        <v>0</v>
      </c>
      <c r="P32" s="133" t="n">
        <v>0</v>
      </c>
      <c r="Q32" s="133" t="n">
        <v>0</v>
      </c>
      <c r="R32" s="133" t="n">
        <v>0</v>
      </c>
      <c r="S32" s="133" t="n">
        <v>0</v>
      </c>
      <c r="T32" s="133" t="n">
        <v>0</v>
      </c>
      <c r="U32" s="133" t="n">
        <v>0</v>
      </c>
      <c r="V32" s="133" t="n">
        <v>0</v>
      </c>
      <c r="W32" s="133" t="n">
        <v>0</v>
      </c>
      <c r="X32" s="133" t="n">
        <v>0</v>
      </c>
      <c r="Y32" s="133" t="n">
        <v>0</v>
      </c>
      <c r="Z32" s="133" t="n">
        <v>0</v>
      </c>
      <c r="AA32" s="133" t="n">
        <v>0</v>
      </c>
      <c r="AB32" s="133" t="n">
        <v>0</v>
      </c>
      <c r="AC32" s="133" t="n">
        <v>0</v>
      </c>
      <c r="AD32" s="133" t="n">
        <v>0</v>
      </c>
      <c r="AE32" s="133" t="n">
        <v>0</v>
      </c>
      <c r="AF32" s="133" t="n">
        <v>0</v>
      </c>
      <c r="AG32" s="133" t="n">
        <v>0</v>
      </c>
      <c r="AH32" s="133" t="n">
        <v>0</v>
      </c>
      <c r="AI32" s="133" t="n">
        <v>0</v>
      </c>
      <c r="AJ32" s="133" t="n">
        <v>0</v>
      </c>
      <c r="AK32" s="133" t="n">
        <v>0</v>
      </c>
      <c r="AL32" s="133" t="n">
        <v>0</v>
      </c>
      <c r="AM32" s="133" t="n">
        <v>0</v>
      </c>
      <c r="AN32" s="133" t="n">
        <v>0</v>
      </c>
      <c r="AO32" s="133" t="n">
        <v>0</v>
      </c>
      <c r="AP32" s="133" t="n">
        <v>0</v>
      </c>
      <c r="AQ32" s="133" t="n">
        <v>0</v>
      </c>
      <c r="AR32" s="133" t="n">
        <v>0</v>
      </c>
      <c r="AS32" s="133" t="n">
        <v>0</v>
      </c>
      <c r="AT32" s="133" t="n">
        <v>0</v>
      </c>
      <c r="AU32" s="133" t="n">
        <v>0</v>
      </c>
      <c r="AV32" s="133" t="n">
        <v>0</v>
      </c>
      <c r="AW32" s="133" t="n">
        <v>0</v>
      </c>
      <c r="AX32" s="133" t="n">
        <v>0</v>
      </c>
      <c r="AY32" s="133" t="n">
        <v>0</v>
      </c>
      <c r="AZ32" s="133" t="n">
        <v>0</v>
      </c>
      <c r="BA32" s="133" t="n">
        <v>0</v>
      </c>
      <c r="BB32" s="133" t="n">
        <v>0</v>
      </c>
      <c r="BC32" s="133" t="n">
        <v>0</v>
      </c>
      <c r="BD32" s="133" t="n">
        <v>0</v>
      </c>
      <c r="BE32" s="133" t="n">
        <v>0</v>
      </c>
      <c r="BF32" s="133" t="n">
        <v>0</v>
      </c>
      <c r="BG32" s="133" t="n">
        <v>0</v>
      </c>
      <c r="BH32" s="133" t="n">
        <v>0</v>
      </c>
      <c r="BI32" s="133" t="n">
        <v>0</v>
      </c>
    </row>
    <row r="33">
      <c r="A33" s="38" t="inlineStr">
        <is>
          <t>Health + Payroll + Taxes</t>
        </is>
      </c>
      <c r="B33" s="133" t="n">
        <v>0</v>
      </c>
      <c r="C33" s="133" t="n">
        <v>0</v>
      </c>
      <c r="D33" s="133" t="n">
        <v>0</v>
      </c>
      <c r="E33" s="133" t="n">
        <v>0</v>
      </c>
      <c r="F33" s="133" t="n">
        <v>0</v>
      </c>
      <c r="G33" s="133" t="n">
        <v>0</v>
      </c>
      <c r="H33" s="133" t="n">
        <v>0</v>
      </c>
      <c r="I33" s="133">
        <f>I13*0.25</f>
        <v/>
      </c>
      <c r="J33" s="133" t="n">
        <v>0</v>
      </c>
      <c r="K33" s="133">
        <f>K13*0.25</f>
        <v/>
      </c>
      <c r="L33" s="133">
        <f>L13*0.25</f>
        <v/>
      </c>
      <c r="M33" s="133">
        <f>M13*0.25</f>
        <v/>
      </c>
      <c r="N33" s="133">
        <f>N13*0.25</f>
        <v/>
      </c>
      <c r="O33" s="133">
        <f>O13*0.25</f>
        <v/>
      </c>
      <c r="P33" s="133">
        <f>P13*0.25</f>
        <v/>
      </c>
      <c r="Q33" s="133">
        <f>Q13*0.25</f>
        <v/>
      </c>
      <c r="R33" s="133">
        <f>R13*0.25</f>
        <v/>
      </c>
      <c r="S33" s="133">
        <f>S13*0.25</f>
        <v/>
      </c>
      <c r="T33" s="133">
        <f>T13*0.25</f>
        <v/>
      </c>
      <c r="U33" s="133">
        <f>U13*0.25</f>
        <v/>
      </c>
      <c r="V33" s="133">
        <f>V13*0.25</f>
        <v/>
      </c>
      <c r="W33" s="133">
        <f>W13*0.25</f>
        <v/>
      </c>
      <c r="X33" s="133">
        <f>X13*0.25</f>
        <v/>
      </c>
      <c r="Y33" s="133">
        <f>Y13*0.25</f>
        <v/>
      </c>
      <c r="Z33" s="133">
        <f>Z13*0.25</f>
        <v/>
      </c>
      <c r="AA33" s="133">
        <f>AA13*0.25</f>
        <v/>
      </c>
      <c r="AB33" s="133">
        <f>AB13*0.25</f>
        <v/>
      </c>
      <c r="AC33" s="133">
        <f>AC13*0.25</f>
        <v/>
      </c>
      <c r="AD33" s="133">
        <f>AD13*0.25</f>
        <v/>
      </c>
      <c r="AE33" s="133">
        <f>AE13*0.25</f>
        <v/>
      </c>
      <c r="AF33" s="133">
        <f>AF13*0.25</f>
        <v/>
      </c>
      <c r="AG33" s="133">
        <f>AG13*0.25</f>
        <v/>
      </c>
      <c r="AH33" s="133">
        <f>AH13*0.25</f>
        <v/>
      </c>
      <c r="AI33" s="133">
        <f>AI13*0.25</f>
        <v/>
      </c>
      <c r="AJ33" s="133">
        <f>AJ13*0.25</f>
        <v/>
      </c>
      <c r="AK33" s="133">
        <f>AK13*0.25</f>
        <v/>
      </c>
      <c r="AL33" s="133">
        <f>AL13*0.25</f>
        <v/>
      </c>
      <c r="AM33" s="133">
        <f>AM13*0.25</f>
        <v/>
      </c>
      <c r="AN33" s="133">
        <f>AN13*0.25</f>
        <v/>
      </c>
      <c r="AO33" s="133">
        <f>AO13*0.25</f>
        <v/>
      </c>
      <c r="AP33" s="133">
        <f>AP13*0.25</f>
        <v/>
      </c>
      <c r="AQ33" s="133">
        <f>AQ13*0.25</f>
        <v/>
      </c>
      <c r="AR33" s="133">
        <f>AR13*0.25</f>
        <v/>
      </c>
      <c r="AS33" s="133">
        <f>AS13*0.25</f>
        <v/>
      </c>
      <c r="AT33" s="133">
        <f>AT13*0.25</f>
        <v/>
      </c>
      <c r="AU33" s="133">
        <f>AU13*0.25</f>
        <v/>
      </c>
      <c r="AV33" s="133">
        <f>AV13*0.25</f>
        <v/>
      </c>
      <c r="AW33" s="133">
        <f>AW13*0.25</f>
        <v/>
      </c>
      <c r="AX33" s="133">
        <f>AX13*0.25</f>
        <v/>
      </c>
      <c r="AY33" s="133">
        <f>AY13*0.25</f>
        <v/>
      </c>
      <c r="AZ33" s="133">
        <f>AZ13*0.25</f>
        <v/>
      </c>
      <c r="BA33" s="133">
        <f>BA13*0.25</f>
        <v/>
      </c>
      <c r="BB33" s="133">
        <f>BB13*0.25</f>
        <v/>
      </c>
      <c r="BC33" s="133">
        <f>BC13*0.25</f>
        <v/>
      </c>
      <c r="BD33" s="133">
        <f>BD13*0.25</f>
        <v/>
      </c>
      <c r="BE33" s="133">
        <f>BE13*0.25</f>
        <v/>
      </c>
      <c r="BF33" s="133">
        <f>BF13*0.25</f>
        <v/>
      </c>
      <c r="BG33" s="133">
        <f>BG13*0.25</f>
        <v/>
      </c>
      <c r="BH33" s="133">
        <f>BH13*0.25</f>
        <v/>
      </c>
      <c r="BI33" s="133">
        <f>BI13*0.25</f>
        <v/>
      </c>
    </row>
    <row r="34">
      <c r="A34" s="38" t="inlineStr">
        <is>
          <t>Contingency (10%)</t>
        </is>
      </c>
      <c r="B34" s="133" t="n">
        <v>0</v>
      </c>
      <c r="C34" s="133" t="n">
        <v>0</v>
      </c>
      <c r="D34" s="133">
        <f>sum(D17:D28)*0.1</f>
        <v/>
      </c>
      <c r="E34" s="133">
        <f>sum(E17:E33)*0.1</f>
        <v/>
      </c>
      <c r="F34" s="133">
        <f>sum(F17:F33)*0.1</f>
        <v/>
      </c>
      <c r="G34" s="133">
        <f>sum(G17:G33)*0.1</f>
        <v/>
      </c>
      <c r="H34" s="133">
        <f>sum(H17:H33)*0.1</f>
        <v/>
      </c>
      <c r="I34" s="133" t="n">
        <v>0</v>
      </c>
      <c r="J34" s="133">
        <f>sum(J17:J33)*0.1</f>
        <v/>
      </c>
      <c r="K34" s="133">
        <f>sum(K17:K33)*0.1</f>
        <v/>
      </c>
      <c r="L34" s="133">
        <f>sum(L17:L33)*0.1</f>
        <v/>
      </c>
      <c r="M34" s="133">
        <f>sum(M17:M33)*0.1</f>
        <v/>
      </c>
      <c r="N34" s="133">
        <f>sum(N17:N33)*0.1</f>
        <v/>
      </c>
      <c r="O34" s="133">
        <f>sum(O17:O33)*0.1</f>
        <v/>
      </c>
      <c r="P34" s="133">
        <f>sum(P17:P33)*0.1</f>
        <v/>
      </c>
      <c r="Q34" s="133">
        <f>sum(Q17:Q33)*0.1</f>
        <v/>
      </c>
      <c r="R34" s="133">
        <f>sum(R17:R33)*0.1</f>
        <v/>
      </c>
      <c r="S34" s="133">
        <f>sum(S17:S33)*0.1</f>
        <v/>
      </c>
      <c r="T34" s="133">
        <f>sum(T17:T33)*0.1</f>
        <v/>
      </c>
      <c r="U34" s="133">
        <f>sum(U17:U33)*0.1</f>
        <v/>
      </c>
      <c r="V34" s="133">
        <f>sum(V17:V33)*0.1</f>
        <v/>
      </c>
      <c r="W34" s="133">
        <f>sum(W17:W33)*0.1</f>
        <v/>
      </c>
      <c r="X34" s="133">
        <f>sum(X17:X33)*0.1</f>
        <v/>
      </c>
      <c r="Y34" s="133">
        <f>sum(Y17:Y33)*0.1</f>
        <v/>
      </c>
      <c r="Z34" s="133">
        <f>sum(Z17:Z33)*0.1</f>
        <v/>
      </c>
      <c r="AA34" s="133">
        <f>sum(AA17:AA33)*0.1</f>
        <v/>
      </c>
      <c r="AB34" s="133">
        <f>sum(AB17:AB33)*0.1</f>
        <v/>
      </c>
      <c r="AC34" s="133">
        <f>sum(AC17:AC33)*0.1</f>
        <v/>
      </c>
      <c r="AD34" s="133">
        <f>sum(AD17:AD33)*0.1</f>
        <v/>
      </c>
      <c r="AE34" s="133">
        <f>sum(AE17:AE33)*0.1</f>
        <v/>
      </c>
      <c r="AF34" s="133">
        <f>sum(AF17:AF33)*0.1</f>
        <v/>
      </c>
      <c r="AG34" s="133">
        <f>sum(AG17:AG33)*0.1</f>
        <v/>
      </c>
      <c r="AH34" s="133">
        <f>sum(AH17:AH33)*0.1</f>
        <v/>
      </c>
      <c r="AI34" s="133">
        <f>sum(AI17:AI33)*0.1</f>
        <v/>
      </c>
      <c r="AJ34" s="133">
        <f>sum(AJ17:AJ33)*0.1</f>
        <v/>
      </c>
      <c r="AK34" s="133">
        <f>sum(AK17:AK33)*0.1</f>
        <v/>
      </c>
      <c r="AL34" s="133">
        <f>sum(AL17:AL33)*0.1</f>
        <v/>
      </c>
      <c r="AM34" s="133">
        <f>sum(AM17:AM33)*0.1</f>
        <v/>
      </c>
      <c r="AN34" s="133">
        <f>sum(AN17:AN33)*0.1</f>
        <v/>
      </c>
      <c r="AO34" s="133">
        <f>sum(AO17:AO33)*0.1</f>
        <v/>
      </c>
      <c r="AP34" s="133">
        <f>sum(AP17:AP33)*0.1</f>
        <v/>
      </c>
      <c r="AQ34" s="133">
        <f>sum(AQ17:AQ33)*0.1</f>
        <v/>
      </c>
      <c r="AR34" s="133">
        <f>sum(AR17:AR33)*0.1</f>
        <v/>
      </c>
      <c r="AS34" s="133">
        <f>sum(AS17:AS33)*0.1</f>
        <v/>
      </c>
      <c r="AT34" s="133">
        <f>sum(AT17:AT33)*0.1</f>
        <v/>
      </c>
      <c r="AU34" s="133">
        <f>sum(AU17:AU33)*0.1</f>
        <v/>
      </c>
      <c r="AV34" s="133">
        <f>sum(AV17:AV33)*0.1</f>
        <v/>
      </c>
      <c r="AW34" s="133">
        <f>sum(AW17:AW33)*0.1</f>
        <v/>
      </c>
      <c r="AX34" s="133">
        <f>sum(AX17:AX33)*0.1</f>
        <v/>
      </c>
      <c r="AY34" s="133">
        <f>sum(AY17:AY33)*0.1</f>
        <v/>
      </c>
      <c r="AZ34" s="133">
        <f>sum(AZ17:AZ33)*0.1</f>
        <v/>
      </c>
      <c r="BA34" s="133">
        <f>sum(BA17:BA33)*0.1</f>
        <v/>
      </c>
      <c r="BB34" s="133">
        <f>sum(BB17:BB33)*0.1</f>
        <v/>
      </c>
      <c r="BC34" s="133">
        <f>sum(BC17:BC33)*0.1</f>
        <v/>
      </c>
      <c r="BD34" s="133">
        <f>sum(BD17:BD33)*0.1</f>
        <v/>
      </c>
      <c r="BE34" s="133">
        <f>sum(BE17:BE33)*0.1</f>
        <v/>
      </c>
      <c r="BF34" s="133">
        <f>sum(BF17:BF33)*0.1</f>
        <v/>
      </c>
      <c r="BG34" s="133">
        <f>sum(BG17:BG33)*0.1</f>
        <v/>
      </c>
      <c r="BH34" s="133">
        <f>sum(BH17:BH33)*0.1</f>
        <v/>
      </c>
      <c r="BI34" s="133">
        <f>sum(BI17:BI33)*0.1</f>
        <v/>
      </c>
    </row>
    <row r="35">
      <c r="A35" s="108" t="inlineStr">
        <is>
          <t>Total Expenditures</t>
        </is>
      </c>
      <c r="B35" s="261">
        <f>SUM(B17:B34)</f>
        <v/>
      </c>
      <c r="C35" s="261">
        <f>SUM(C17:C34)</f>
        <v/>
      </c>
      <c r="D35" s="261">
        <f>SUM(D17:D34)</f>
        <v/>
      </c>
      <c r="E35" s="261">
        <f>SUM(E17:E34)</f>
        <v/>
      </c>
      <c r="F35" s="261">
        <f>SUM(F17:F34)</f>
        <v/>
      </c>
      <c r="G35" s="261">
        <f>SUM(G17:G34)</f>
        <v/>
      </c>
      <c r="H35" s="261">
        <f>SUM(H17:H34)</f>
        <v/>
      </c>
      <c r="I35" s="261">
        <f>SUM(I17:I34)</f>
        <v/>
      </c>
      <c r="J35" s="261">
        <f>SUM(J17:J34)</f>
        <v/>
      </c>
      <c r="K35" s="261">
        <f>SUM(K17:K34)</f>
        <v/>
      </c>
      <c r="L35" s="261">
        <f>SUM(L17:L34)</f>
        <v/>
      </c>
      <c r="M35" s="261">
        <f>SUM(M17:M34)</f>
        <v/>
      </c>
      <c r="N35" s="261">
        <f>SUM(N17:N34)</f>
        <v/>
      </c>
      <c r="O35" s="261">
        <f>SUM(O17:O34)</f>
        <v/>
      </c>
      <c r="P35" s="261">
        <f>SUM(P17:P34)</f>
        <v/>
      </c>
      <c r="Q35" s="261">
        <f>SUM(Q17:Q34)</f>
        <v/>
      </c>
      <c r="R35" s="261">
        <f>SUM(R17:R34)</f>
        <v/>
      </c>
      <c r="S35" s="261">
        <f>SUM(S17:S34)</f>
        <v/>
      </c>
      <c r="T35" s="261">
        <f>SUM(T17:T34)</f>
        <v/>
      </c>
      <c r="U35" s="261">
        <f>SUM(U17:U34)</f>
        <v/>
      </c>
      <c r="V35" s="261">
        <f>SUM(V17:V34)</f>
        <v/>
      </c>
      <c r="W35" s="261">
        <f>SUM(W17:W34)</f>
        <v/>
      </c>
      <c r="X35" s="261">
        <f>SUM(X17:X34)</f>
        <v/>
      </c>
      <c r="Y35" s="261">
        <f>SUM(Y17:Y34)</f>
        <v/>
      </c>
      <c r="Z35" s="261">
        <f>SUM(Z17:Z34)</f>
        <v/>
      </c>
      <c r="AA35" s="261">
        <f>SUM(AA17:AA34)</f>
        <v/>
      </c>
      <c r="AB35" s="261">
        <f>SUM(AB17:AB34)</f>
        <v/>
      </c>
      <c r="AC35" s="261">
        <f>SUM(AC17:AC34)</f>
        <v/>
      </c>
      <c r="AD35" s="261">
        <f>SUM(AD17:AD34)</f>
        <v/>
      </c>
      <c r="AE35" s="261">
        <f>SUM(AE17:AE34)</f>
        <v/>
      </c>
      <c r="AF35" s="261">
        <f>SUM(AF17:AF34)</f>
        <v/>
      </c>
      <c r="AG35" s="261">
        <f>SUM(AG17:AG34)</f>
        <v/>
      </c>
      <c r="AH35" s="261">
        <f>SUM(AH17:AH34)</f>
        <v/>
      </c>
      <c r="AI35" s="261">
        <f>SUM(AI17:AI34)</f>
        <v/>
      </c>
      <c r="AJ35" s="261">
        <f>SUM(AJ17:AJ34)</f>
        <v/>
      </c>
      <c r="AK35" s="261">
        <f>SUM(AK17:AK34)</f>
        <v/>
      </c>
      <c r="AL35" s="261">
        <f>SUM(AL17:AL34)</f>
        <v/>
      </c>
      <c r="AM35" s="261">
        <f>SUM(AM17:AM34)</f>
        <v/>
      </c>
      <c r="AN35" s="261">
        <f>SUM(AN17:AN34)</f>
        <v/>
      </c>
      <c r="AO35" s="261">
        <f>SUM(AO17:AO34)</f>
        <v/>
      </c>
      <c r="AP35" s="261">
        <f>SUM(AP17:AP34)</f>
        <v/>
      </c>
      <c r="AQ35" s="261">
        <f>SUM(AQ17:AQ34)</f>
        <v/>
      </c>
      <c r="AR35" s="261">
        <f>SUM(AR17:AR34)</f>
        <v/>
      </c>
      <c r="AS35" s="261">
        <f>SUM(AS17:AS34)</f>
        <v/>
      </c>
      <c r="AT35" s="261">
        <f>SUM(AT17:AT34)</f>
        <v/>
      </c>
      <c r="AU35" s="261">
        <f>SUM(AU17:AU34)</f>
        <v/>
      </c>
      <c r="AV35" s="261">
        <f>SUM(AV17:AV34)</f>
        <v/>
      </c>
      <c r="AW35" s="261">
        <f>SUM(AW17:AW34)</f>
        <v/>
      </c>
      <c r="AX35" s="261">
        <f>SUM(AX17:AX34)</f>
        <v/>
      </c>
      <c r="AY35" s="261">
        <f>SUM(AY17:AY34)</f>
        <v/>
      </c>
      <c r="AZ35" s="261">
        <f>SUM(AZ17:AZ34)</f>
        <v/>
      </c>
      <c r="BA35" s="261">
        <f>SUM(BA17:BA34)</f>
        <v/>
      </c>
      <c r="BB35" s="261">
        <f>SUM(BB17:BB34)</f>
        <v/>
      </c>
      <c r="BC35" s="261">
        <f>SUM(BC17:BC34)</f>
        <v/>
      </c>
      <c r="BD35" s="261">
        <f>SUM(BD17:BD34)</f>
        <v/>
      </c>
      <c r="BE35" s="261">
        <f>SUM(BE17:BE34)</f>
        <v/>
      </c>
      <c r="BF35" s="261">
        <f>SUM(BF17:BF34)</f>
        <v/>
      </c>
      <c r="BG35" s="261">
        <f>SUM(BG17:BG34)</f>
        <v/>
      </c>
      <c r="BH35" s="261">
        <f>SUM(BH17:BH34)</f>
        <v/>
      </c>
      <c r="BI35" s="261">
        <f>SUM(BI17:BI34)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206" t="n"/>
      <c r="AA36" s="206" t="n"/>
      <c r="AB36" s="206" t="n"/>
      <c r="AC36" s="206" t="n"/>
      <c r="AD36" s="206" t="n"/>
      <c r="AE36" s="206" t="n"/>
      <c r="AF36" s="206" t="n"/>
      <c r="AG36" s="206" t="n"/>
      <c r="AH36" s="206" t="n"/>
      <c r="AI36" s="206" t="n"/>
      <c r="AJ36" s="206" t="n"/>
      <c r="AK36" s="206" t="n"/>
      <c r="AL36" s="206" t="n"/>
      <c r="AM36" s="206" t="n"/>
      <c r="AN36" s="206" t="n"/>
      <c r="AO36" s="206" t="n"/>
      <c r="AP36" s="206" t="n"/>
      <c r="AQ36" s="206" t="n"/>
      <c r="AR36" s="206" t="n"/>
      <c r="AS36" s="206" t="n"/>
      <c r="AT36" s="206" t="n"/>
      <c r="AU36" s="206" t="n"/>
      <c r="AV36" s="206" t="n"/>
      <c r="AW36" s="206" t="n"/>
      <c r="AX36" s="206" t="n"/>
      <c r="AY36" s="206" t="n"/>
      <c r="AZ36" s="206" t="n"/>
      <c r="BA36" s="206" t="n"/>
      <c r="BB36" s="206" t="n"/>
      <c r="BC36" s="206" t="n"/>
      <c r="BD36" s="206" t="n"/>
      <c r="BE36" s="206" t="n"/>
      <c r="BF36" s="206" t="n"/>
      <c r="BG36" s="206" t="n"/>
      <c r="BH36" s="206" t="n"/>
      <c r="BI36" s="206" t="n"/>
    </row>
    <row r="37">
      <c r="A37" s="36" t="inlineStr">
        <is>
          <t>Capital Activities</t>
        </is>
      </c>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c r="X37" s="94" t="n"/>
      <c r="Y37" s="94" t="n"/>
    </row>
    <row r="38">
      <c r="A38" s="38" t="inlineStr">
        <is>
          <t>Capital Infusion from RA LLC</t>
        </is>
      </c>
      <c r="B38" s="133" t="n">
        <v>0</v>
      </c>
      <c r="C38" s="133" t="n">
        <v>0</v>
      </c>
      <c r="D38" s="133" t="n">
        <v>0</v>
      </c>
      <c r="E38" s="133" t="n">
        <v>0</v>
      </c>
      <c r="F38" s="133" t="n">
        <v>0</v>
      </c>
      <c r="G38" s="133" t="n">
        <v>0</v>
      </c>
      <c r="H38" s="133" t="n">
        <v>0</v>
      </c>
      <c r="I38" s="133">
        <f>-'RA LLC Cashflow'!I30</f>
        <v/>
      </c>
      <c r="J38" s="133">
        <f>-'RA LLC Cashflow'!J30</f>
        <v/>
      </c>
      <c r="K38" s="133">
        <f>-'RA LLC Cashflow'!K30</f>
        <v/>
      </c>
      <c r="L38" s="133">
        <f>-'RA LLC Cashflow'!L30</f>
        <v/>
      </c>
      <c r="M38" s="133" t="n">
        <v>0</v>
      </c>
      <c r="N38" s="133">
        <f>-'RA LLC Cashflow'!N30</f>
        <v/>
      </c>
      <c r="O38" s="133" t="n">
        <v>0</v>
      </c>
      <c r="P38" s="133" t="n">
        <v>0</v>
      </c>
      <c r="Q38" s="133" t="n">
        <v>0</v>
      </c>
      <c r="R38" s="133" t="n">
        <v>0</v>
      </c>
      <c r="S38" s="133" t="n">
        <v>0</v>
      </c>
      <c r="T38" s="133" t="n">
        <v>0</v>
      </c>
      <c r="U38" s="133" t="n">
        <v>0</v>
      </c>
      <c r="V38" s="133" t="n">
        <v>0</v>
      </c>
      <c r="W38" s="133" t="n">
        <v>0</v>
      </c>
      <c r="X38" s="133" t="n">
        <v>0</v>
      </c>
      <c r="Y38" s="133" t="n">
        <v>0</v>
      </c>
      <c r="Z38" s="133" t="n">
        <v>0</v>
      </c>
      <c r="AA38" s="133" t="n">
        <v>0</v>
      </c>
      <c r="AB38" s="133" t="n">
        <v>0</v>
      </c>
      <c r="AC38" s="133" t="n">
        <v>0</v>
      </c>
      <c r="AD38" s="133" t="n">
        <v>0</v>
      </c>
      <c r="AE38" s="133" t="n">
        <v>0</v>
      </c>
      <c r="AF38" s="133" t="n">
        <v>0</v>
      </c>
      <c r="AG38" s="133" t="n">
        <v>0</v>
      </c>
      <c r="AH38" s="133" t="n">
        <v>0</v>
      </c>
      <c r="AI38" s="133" t="n">
        <v>0</v>
      </c>
      <c r="AJ38" s="133" t="n">
        <v>0</v>
      </c>
      <c r="AK38" s="133" t="n">
        <v>0</v>
      </c>
      <c r="AL38" s="133" t="n">
        <v>0</v>
      </c>
      <c r="AM38" s="133" t="n">
        <v>0</v>
      </c>
      <c r="AN38" s="133" t="n">
        <v>0</v>
      </c>
      <c r="AO38" s="133" t="n">
        <v>0</v>
      </c>
      <c r="AP38" s="133" t="n">
        <v>0</v>
      </c>
      <c r="AQ38" s="133" t="n">
        <v>0</v>
      </c>
      <c r="AR38" s="133" t="n">
        <v>0</v>
      </c>
      <c r="AS38" s="133" t="n">
        <v>0</v>
      </c>
      <c r="AT38" s="133" t="n">
        <v>0</v>
      </c>
      <c r="AU38" s="133" t="n">
        <v>0</v>
      </c>
      <c r="AV38" s="133" t="n">
        <v>0</v>
      </c>
      <c r="AW38" s="133" t="n">
        <v>0</v>
      </c>
      <c r="AX38" s="133" t="n">
        <v>0</v>
      </c>
      <c r="AY38" s="133" t="n">
        <v>0</v>
      </c>
      <c r="AZ38" s="133" t="n">
        <v>0</v>
      </c>
      <c r="BA38" s="133" t="n">
        <v>0</v>
      </c>
      <c r="BB38" s="133" t="n">
        <v>0</v>
      </c>
      <c r="BC38" s="133" t="n">
        <v>0</v>
      </c>
      <c r="BD38" s="133" t="n">
        <v>0</v>
      </c>
      <c r="BE38" s="133" t="n">
        <v>0</v>
      </c>
      <c r="BF38" s="133" t="n">
        <v>0</v>
      </c>
      <c r="BG38" s="133" t="n">
        <v>0</v>
      </c>
      <c r="BH38" s="133" t="n">
        <v>0</v>
      </c>
      <c r="BI38" s="133" t="n">
        <v>0</v>
      </c>
    </row>
    <row r="39">
      <c r="A39" s="38" t="inlineStr">
        <is>
          <t>Investment Tranch Keepons due</t>
        </is>
      </c>
      <c r="B39" s="133" t="n">
        <v>0</v>
      </c>
      <c r="C39" s="133" t="n">
        <v>0</v>
      </c>
      <c r="D39" s="133" t="n">
        <v>0</v>
      </c>
      <c r="E39" s="133" t="n">
        <v>0</v>
      </c>
      <c r="F39" s="133" t="n">
        <v>0</v>
      </c>
      <c r="G39" s="133" t="n">
        <v>0</v>
      </c>
      <c r="H39" s="133" t="n">
        <v>0</v>
      </c>
      <c r="I39" s="133" t="n">
        <v>0</v>
      </c>
      <c r="J39" s="133" t="n">
        <v>0</v>
      </c>
      <c r="K39" s="133" t="n">
        <v>0</v>
      </c>
      <c r="L39" s="133" t="n">
        <v>0</v>
      </c>
      <c r="M39" s="133" t="n">
        <v>0</v>
      </c>
      <c r="N39" s="133" t="n">
        <v>0</v>
      </c>
      <c r="O39" s="133" t="n">
        <v>0</v>
      </c>
      <c r="P39" s="133" t="n">
        <v>0</v>
      </c>
      <c r="Q39" s="133" t="n">
        <v>0</v>
      </c>
      <c r="R39" s="133" t="n">
        <v>0</v>
      </c>
      <c r="S39" s="133" t="n">
        <v>0</v>
      </c>
      <c r="T39" s="133" t="n">
        <v>0</v>
      </c>
      <c r="U39" s="133" t="n">
        <v>0</v>
      </c>
      <c r="V39" s="133" t="n">
        <v>0</v>
      </c>
      <c r="W39" s="133" t="n">
        <v>0</v>
      </c>
      <c r="X39" s="133" t="n">
        <v>0</v>
      </c>
      <c r="Y39" s="133" t="n">
        <v>0</v>
      </c>
      <c r="Z39" s="133" t="n">
        <v>0</v>
      </c>
      <c r="AA39" s="133" t="n">
        <v>0</v>
      </c>
      <c r="AB39" s="133" t="n">
        <v>0</v>
      </c>
      <c r="AC39" s="133" t="n">
        <v>0</v>
      </c>
      <c r="AD39" s="133" t="n">
        <v>0</v>
      </c>
      <c r="AE39" s="133" t="n">
        <v>0</v>
      </c>
      <c r="AF39" s="133" t="n">
        <v>0</v>
      </c>
      <c r="AG39" s="133" t="n">
        <v>0</v>
      </c>
      <c r="AH39" s="133" t="n">
        <v>0</v>
      </c>
      <c r="AI39" s="133" t="n">
        <v>0</v>
      </c>
      <c r="AJ39" s="133" t="n">
        <v>0</v>
      </c>
      <c r="AK39" s="133" t="n">
        <v>0</v>
      </c>
      <c r="AL39" s="133" t="n">
        <v>0</v>
      </c>
      <c r="AM39" s="133" t="n">
        <v>0</v>
      </c>
      <c r="AN39" s="133" t="n">
        <v>0</v>
      </c>
      <c r="AO39" s="133" t="n">
        <v>0</v>
      </c>
      <c r="AP39" s="133" t="n">
        <v>0</v>
      </c>
      <c r="AQ39" s="133" t="n">
        <v>0</v>
      </c>
      <c r="AR39" s="133" t="n">
        <v>0</v>
      </c>
      <c r="AS39" s="133" t="n">
        <v>0</v>
      </c>
      <c r="AT39" s="133" t="n">
        <v>0</v>
      </c>
      <c r="AU39" s="133" t="n">
        <v>0</v>
      </c>
      <c r="AV39" s="133" t="n">
        <v>0</v>
      </c>
      <c r="AW39" s="133" t="n">
        <v>0</v>
      </c>
      <c r="AX39" s="133" t="n">
        <v>0</v>
      </c>
      <c r="AY39" s="133" t="n">
        <v>0</v>
      </c>
      <c r="AZ39" s="133" t="n">
        <v>0</v>
      </c>
      <c r="BA39" s="133" t="n">
        <v>0</v>
      </c>
      <c r="BB39" s="133" t="n">
        <v>0</v>
      </c>
      <c r="BC39" s="133" t="n">
        <v>0</v>
      </c>
      <c r="BD39" s="133" t="n">
        <v>0</v>
      </c>
      <c r="BE39" s="133" t="n">
        <v>0</v>
      </c>
      <c r="BF39" s="133" t="n">
        <v>0</v>
      </c>
      <c r="BG39" s="133" t="n">
        <v>0</v>
      </c>
      <c r="BH39" s="133" t="n">
        <v>0</v>
      </c>
      <c r="BI39" s="133">
        <f>-sum(Capital!I2:I11)</f>
        <v/>
      </c>
    </row>
    <row r="40">
      <c r="A40" s="38" t="inlineStr">
        <is>
          <t>Personnel Deferred Comp Due</t>
        </is>
      </c>
      <c r="B40" s="133" t="n">
        <v>0</v>
      </c>
      <c r="C40" s="133" t="n">
        <v>0</v>
      </c>
      <c r="D40" s="133" t="n">
        <v>0</v>
      </c>
      <c r="E40" s="133" t="n">
        <v>0</v>
      </c>
      <c r="F40" s="133" t="n">
        <v>0</v>
      </c>
      <c r="G40" s="133" t="n">
        <v>0</v>
      </c>
      <c r="H40" s="133" t="n">
        <v>0</v>
      </c>
      <c r="I40" s="133" t="n">
        <v>0</v>
      </c>
      <c r="J40" s="133" t="n">
        <v>0</v>
      </c>
      <c r="K40" s="133" t="n">
        <v>0</v>
      </c>
      <c r="L40" s="133" t="n">
        <v>0</v>
      </c>
      <c r="M40" s="133" t="n">
        <v>0</v>
      </c>
      <c r="N40" s="133" t="n">
        <v>0</v>
      </c>
      <c r="O40" s="133" t="n">
        <v>0</v>
      </c>
      <c r="P40" s="133" t="n">
        <v>0</v>
      </c>
      <c r="Q40" s="133" t="n">
        <v>0</v>
      </c>
      <c r="R40" s="133" t="n">
        <v>0</v>
      </c>
      <c r="S40" s="133" t="n">
        <v>0</v>
      </c>
      <c r="T40" s="133" t="n">
        <v>0</v>
      </c>
      <c r="U40" s="133" t="n">
        <v>0</v>
      </c>
      <c r="V40" s="133" t="n">
        <v>0</v>
      </c>
      <c r="W40" s="133" t="n">
        <v>0</v>
      </c>
      <c r="X40" s="133" t="n">
        <v>0</v>
      </c>
      <c r="Y40" s="133" t="n">
        <v>0</v>
      </c>
      <c r="Z40" s="133" t="n">
        <v>0</v>
      </c>
      <c r="AA40" s="133" t="n">
        <v>0</v>
      </c>
      <c r="AB40" s="133" t="n">
        <v>0</v>
      </c>
      <c r="AC40" s="133" t="n">
        <v>0</v>
      </c>
      <c r="AD40" s="133" t="n">
        <v>0</v>
      </c>
      <c r="AE40" s="133" t="n">
        <v>0</v>
      </c>
      <c r="AF40" s="133">
        <f>-sum('Deferred Comp'!B35:J35)</f>
        <v/>
      </c>
      <c r="AG40" s="133">
        <f>-'Deferred Comp'!K35</f>
        <v/>
      </c>
      <c r="AH40" s="133">
        <f>-'Deferred Comp'!L35</f>
        <v/>
      </c>
      <c r="AI40" s="133">
        <f>-'Deferred Comp'!M35</f>
        <v/>
      </c>
      <c r="AJ40" s="133">
        <f>-'Deferred Comp'!N35</f>
        <v/>
      </c>
      <c r="AK40" s="133">
        <f>-'Deferred Comp'!O35</f>
        <v/>
      </c>
      <c r="AL40" s="133">
        <f>-'Deferred Comp'!P35</f>
        <v/>
      </c>
      <c r="AM40" s="133">
        <f>-'Deferred Comp'!Q35</f>
        <v/>
      </c>
      <c r="AN40" s="133">
        <f>-'Deferred Comp'!R35</f>
        <v/>
      </c>
      <c r="AO40" s="133">
        <f>-'Deferred Comp'!S35</f>
        <v/>
      </c>
      <c r="AP40" s="133">
        <f>-'Deferred Comp'!T35</f>
        <v/>
      </c>
      <c r="AQ40" s="133">
        <f>-'Deferred Comp'!U35</f>
        <v/>
      </c>
      <c r="AR40" s="133">
        <f>-'Deferred Comp'!V35</f>
        <v/>
      </c>
      <c r="AS40" s="133">
        <f>-'Deferred Comp'!W35</f>
        <v/>
      </c>
      <c r="AT40" s="133">
        <f>-'Deferred Comp'!X35</f>
        <v/>
      </c>
      <c r="AU40" s="133">
        <f>-'Deferred Comp'!Y35</f>
        <v/>
      </c>
      <c r="AV40" s="133">
        <f>-'Deferred Comp'!Z35</f>
        <v/>
      </c>
      <c r="AW40" s="133">
        <f>-'Deferred Comp'!AA35</f>
        <v/>
      </c>
      <c r="AX40" s="133">
        <f>-'Deferred Comp'!AB35</f>
        <v/>
      </c>
      <c r="AY40" s="133">
        <f>-'Deferred Comp'!AC35</f>
        <v/>
      </c>
      <c r="AZ40" s="133">
        <f>-'Deferred Comp'!AD35</f>
        <v/>
      </c>
      <c r="BA40" s="133">
        <f>-'Deferred Comp'!AE35</f>
        <v/>
      </c>
      <c r="BB40" s="133">
        <f>-'Deferred Comp'!AF35</f>
        <v/>
      </c>
      <c r="BC40" s="133">
        <f>-'Deferred Comp'!AG35</f>
        <v/>
      </c>
      <c r="BD40" s="133">
        <f>-'Deferred Comp'!AH35</f>
        <v/>
      </c>
      <c r="BE40" s="133">
        <f>-'Deferred Comp'!AI35</f>
        <v/>
      </c>
      <c r="BF40" s="133">
        <f>-'Deferred Comp'!AJ35</f>
        <v/>
      </c>
      <c r="BG40" s="133">
        <f>-'Deferred Comp'!AK35</f>
        <v/>
      </c>
      <c r="BH40" s="133">
        <f>-'Deferred Comp'!AL35</f>
        <v/>
      </c>
      <c r="BI40" s="133">
        <f>-'Deferred Comp'!AM35</f>
        <v/>
      </c>
    </row>
    <row r="41">
      <c r="A41" s="108" t="inlineStr">
        <is>
          <t>Total Capital Activities</t>
        </is>
      </c>
      <c r="B41" s="261">
        <f>SUM(B39:B40)</f>
        <v/>
      </c>
      <c r="C41" s="261">
        <f>SUM(C39:C40)</f>
        <v/>
      </c>
      <c r="D41" s="261">
        <f>SUM(D39:D40)</f>
        <v/>
      </c>
      <c r="E41" s="261">
        <f>SUM(E38)</f>
        <v/>
      </c>
      <c r="F41" s="261">
        <f>SUM(F38:F40)</f>
        <v/>
      </c>
      <c r="G41" s="261">
        <f>SUM(G38:G40)</f>
        <v/>
      </c>
      <c r="H41" s="261">
        <f>SUM(H38:H40)</f>
        <v/>
      </c>
      <c r="I41" s="261">
        <f>SUM(I38:I40)</f>
        <v/>
      </c>
      <c r="J41" s="261">
        <f>SUM(J38:J40)</f>
        <v/>
      </c>
      <c r="K41" s="261">
        <f>SUM(K38:K40)</f>
        <v/>
      </c>
      <c r="L41" s="261">
        <f>SUM(L38:L40)</f>
        <v/>
      </c>
      <c r="M41" s="261">
        <f>SUM(M38:M40)</f>
        <v/>
      </c>
      <c r="N41" s="261">
        <f>SUM(N38:N40)</f>
        <v/>
      </c>
      <c r="O41" s="261">
        <f>SUM(O38:O40)</f>
        <v/>
      </c>
      <c r="P41" s="261">
        <f>SUM(P38:P40)</f>
        <v/>
      </c>
      <c r="Q41" s="261">
        <f>SUM(Q38:Q40)</f>
        <v/>
      </c>
      <c r="R41" s="261">
        <f>SUM(R38:R40)</f>
        <v/>
      </c>
      <c r="S41" s="261">
        <f>SUM(S38:S40)</f>
        <v/>
      </c>
      <c r="T41" s="261">
        <f>SUM(T38:T40)</f>
        <v/>
      </c>
      <c r="U41" s="261">
        <f>SUM(U38:U40)</f>
        <v/>
      </c>
      <c r="V41" s="261">
        <f>SUM(V38:V40)</f>
        <v/>
      </c>
      <c r="W41" s="261">
        <f>SUM(W38:W40)</f>
        <v/>
      </c>
      <c r="X41" s="261">
        <f>SUM(X38:X40)</f>
        <v/>
      </c>
      <c r="Y41" s="261">
        <f>SUM(Y38:Y40)</f>
        <v/>
      </c>
      <c r="Z41" s="261">
        <f>SUM(Z38:Z40)</f>
        <v/>
      </c>
      <c r="AA41" s="261">
        <f>SUM(AA38:AA40)</f>
        <v/>
      </c>
      <c r="AB41" s="261">
        <f>SUM(AB38:AB40)</f>
        <v/>
      </c>
      <c r="AC41" s="261">
        <f>SUM(AC38:AC40)</f>
        <v/>
      </c>
      <c r="AD41" s="261">
        <f>SUM(AD38:AD40)</f>
        <v/>
      </c>
      <c r="AE41" s="261">
        <f>SUM(AE38:AE40)</f>
        <v/>
      </c>
      <c r="AF41" s="261">
        <f>SUM(AF38:AF40)</f>
        <v/>
      </c>
      <c r="AG41" s="261">
        <f>SUM(AG38:AG40)</f>
        <v/>
      </c>
      <c r="AH41" s="261">
        <f>SUM(AH38:AH40)</f>
        <v/>
      </c>
      <c r="AI41" s="261">
        <f>SUM(AI38:AI40)</f>
        <v/>
      </c>
      <c r="AJ41" s="261">
        <f>SUM(AJ38:AJ40)</f>
        <v/>
      </c>
      <c r="AK41" s="261">
        <f>SUM(AK38:AK40)</f>
        <v/>
      </c>
      <c r="AL41" s="261">
        <f>SUM(AL38:AL40)</f>
        <v/>
      </c>
      <c r="AM41" s="261">
        <f>SUM(AM38:AM40)</f>
        <v/>
      </c>
      <c r="AN41" s="261">
        <f>SUM(AN38:AN40)</f>
        <v/>
      </c>
      <c r="AO41" s="261">
        <f>SUM(AO38:AO40)</f>
        <v/>
      </c>
      <c r="AP41" s="261">
        <f>SUM(AP38:AP40)</f>
        <v/>
      </c>
      <c r="AQ41" s="261">
        <f>SUM(AQ38:AQ40)</f>
        <v/>
      </c>
      <c r="AR41" s="261">
        <f>SUM(AR38:AR40)</f>
        <v/>
      </c>
      <c r="AS41" s="261">
        <f>SUM(AS38:AS40)</f>
        <v/>
      </c>
      <c r="AT41" s="261">
        <f>SUM(AT38:AT40)</f>
        <v/>
      </c>
      <c r="AU41" s="261">
        <f>SUM(AU38:AU40)</f>
        <v/>
      </c>
      <c r="AV41" s="261">
        <f>SUM(AV38:AV40)</f>
        <v/>
      </c>
      <c r="AW41" s="261">
        <f>SUM(AW38:AW40)</f>
        <v/>
      </c>
      <c r="AX41" s="261">
        <f>SUM(AX38:AX40)</f>
        <v/>
      </c>
      <c r="AY41" s="261">
        <f>SUM(AY38:AY40)</f>
        <v/>
      </c>
      <c r="AZ41" s="261">
        <f>SUM(AZ38:AZ40)</f>
        <v/>
      </c>
      <c r="BA41" s="261">
        <f>SUM(BA38:BA40)</f>
        <v/>
      </c>
      <c r="BB41" s="261">
        <f>SUM(BB38:BB40)</f>
        <v/>
      </c>
      <c r="BC41" s="261">
        <f>SUM(BC38:BC40)</f>
        <v/>
      </c>
      <c r="BD41" s="261">
        <f>SUM(BD38:BD40)</f>
        <v/>
      </c>
      <c r="BE41" s="261">
        <f>SUM(BE38:BE40)</f>
        <v/>
      </c>
      <c r="BF41" s="261">
        <f>SUM(BF38:BF40)</f>
        <v/>
      </c>
      <c r="BG41" s="261">
        <f>SUM(BG38:BG40)</f>
        <v/>
      </c>
      <c r="BH41" s="261">
        <f>SUM(BH38:BH40)</f>
        <v/>
      </c>
      <c r="BI41" s="261">
        <f>SUM(BI38:BI40)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Operating Expenses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Personnel Stipends</t>
        </is>
      </c>
      <c r="B44" s="133" t="n">
        <v>0</v>
      </c>
      <c r="C44" s="133" t="n">
        <v>0</v>
      </c>
      <c r="D44" s="133" t="n">
        <v>0</v>
      </c>
      <c r="E44" s="133">
        <f>'RAF Cashflow (5yr)'!E13</f>
        <v/>
      </c>
      <c r="F44" s="133">
        <f>'RAF Cashflow (5yr)'!F13</f>
        <v/>
      </c>
      <c r="G44" s="133">
        <f>'RAF Cashflow (5yr)'!G13</f>
        <v/>
      </c>
      <c r="H44" s="133">
        <f>'RAF Cashflow (5yr)'!H13</f>
        <v/>
      </c>
      <c r="I44" s="133">
        <f>'RAF Cashflow (5yr)'!I13</f>
        <v/>
      </c>
      <c r="J44" s="133">
        <f>'RAF Cashflow (5yr)'!J13</f>
        <v/>
      </c>
      <c r="K44" s="133">
        <f>'RAF Cashflow (5yr)'!K13</f>
        <v/>
      </c>
      <c r="L44" s="133">
        <f>'RAF Cashflow (5yr)'!L13</f>
        <v/>
      </c>
      <c r="M44" s="133">
        <f>'RAF Cashflow (5yr)'!M13</f>
        <v/>
      </c>
      <c r="N44" s="133">
        <f>'RAF Cashflow (5yr)'!N13</f>
        <v/>
      </c>
      <c r="O44" s="133">
        <f>'RAF Cashflow (5yr)'!O13</f>
        <v/>
      </c>
      <c r="P44" s="133">
        <f>'RAF Cashflow (5yr)'!P13</f>
        <v/>
      </c>
      <c r="Q44" s="133">
        <f>'RAF Cashflow (5yr)'!Q13</f>
        <v/>
      </c>
      <c r="R44" s="133">
        <f>'RAF Cashflow (5yr)'!R13</f>
        <v/>
      </c>
      <c r="S44" s="133">
        <f>'RAF Cashflow (5yr)'!S13</f>
        <v/>
      </c>
      <c r="T44" s="133">
        <f>'RAF Cashflow (5yr)'!T13</f>
        <v/>
      </c>
      <c r="U44" s="133">
        <f>'RAF Cashflow (5yr)'!U13</f>
        <v/>
      </c>
      <c r="V44" s="133">
        <f>'RAF Cashflow (5yr)'!V13</f>
        <v/>
      </c>
      <c r="W44" s="133">
        <f>'RAF Cashflow (5yr)'!W13</f>
        <v/>
      </c>
      <c r="X44" s="133">
        <f>'RAF Cashflow (5yr)'!X13</f>
        <v/>
      </c>
      <c r="Y44" s="133">
        <f>'RAF Cashflow (5yr)'!Y13</f>
        <v/>
      </c>
      <c r="Z44" s="133">
        <f>'RAF Cashflow (5yr)'!Z13</f>
        <v/>
      </c>
      <c r="AA44" s="133">
        <f>'RAF Cashflow (5yr)'!AA13</f>
        <v/>
      </c>
      <c r="AB44" s="133">
        <f>'RAF Cashflow (5yr)'!AB13</f>
        <v/>
      </c>
      <c r="AC44" s="133">
        <f>'RAF Cashflow (5yr)'!AC13</f>
        <v/>
      </c>
      <c r="AD44" s="133">
        <f>'RAF Cashflow (5yr)'!AD13</f>
        <v/>
      </c>
      <c r="AE44" s="133">
        <f>'RAF Cashflow (5yr)'!AE13</f>
        <v/>
      </c>
      <c r="AF44" s="133">
        <f>'RAF Cashflow (5yr)'!AF13</f>
        <v/>
      </c>
      <c r="AG44" s="133">
        <f>'RAF Cashflow (5yr)'!AG13</f>
        <v/>
      </c>
      <c r="AH44" s="133">
        <f>'RAF Cashflow (5yr)'!AH13</f>
        <v/>
      </c>
      <c r="AI44" s="133">
        <f>'RAF Cashflow (5yr)'!AI13</f>
        <v/>
      </c>
      <c r="AJ44" s="133">
        <f>'RAF Cashflow (5yr)'!AJ13</f>
        <v/>
      </c>
      <c r="AK44" s="133">
        <f>'RAF Cashflow (5yr)'!AK13</f>
        <v/>
      </c>
      <c r="AL44" s="133">
        <f>'RAF Cashflow (5yr)'!AL13</f>
        <v/>
      </c>
      <c r="AM44" s="133">
        <f>'RAF Cashflow (5yr)'!AM13</f>
        <v/>
      </c>
      <c r="AN44" s="133">
        <f>'RAF Cashflow (5yr)'!AN13</f>
        <v/>
      </c>
      <c r="AO44" s="133">
        <f>'RAF Cashflow (5yr)'!AO13</f>
        <v/>
      </c>
      <c r="AP44" s="133">
        <f>'RAF Cashflow (5yr)'!AP13</f>
        <v/>
      </c>
      <c r="AQ44" s="133">
        <f>'RAF Cashflow (5yr)'!AQ13</f>
        <v/>
      </c>
      <c r="AR44" s="133">
        <f>'RAF Cashflow (5yr)'!AR13</f>
        <v/>
      </c>
      <c r="AS44" s="133">
        <f>'RAF Cashflow (5yr)'!AS13</f>
        <v/>
      </c>
      <c r="AT44" s="133">
        <f>'RAF Cashflow (5yr)'!AT13</f>
        <v/>
      </c>
      <c r="AU44" s="133">
        <f>'RAF Cashflow (5yr)'!AU13</f>
        <v/>
      </c>
      <c r="AV44" s="133">
        <f>'RAF Cashflow (5yr)'!AV13</f>
        <v/>
      </c>
      <c r="AW44" s="133">
        <f>'RAF Cashflow (5yr)'!AW13</f>
        <v/>
      </c>
      <c r="AX44" s="133">
        <f>'RAF Cashflow (5yr)'!AX13</f>
        <v/>
      </c>
      <c r="AY44" s="133">
        <f>'RAF Cashflow (5yr)'!AY13</f>
        <v/>
      </c>
      <c r="AZ44" s="133">
        <f>'RAF Cashflow (5yr)'!AZ13</f>
        <v/>
      </c>
      <c r="BA44" s="133">
        <f>'RAF Cashflow (5yr)'!BA13</f>
        <v/>
      </c>
      <c r="BB44" s="133">
        <f>'RAF Cashflow (5yr)'!BB13</f>
        <v/>
      </c>
      <c r="BC44" s="133">
        <f>'RAF Cashflow (5yr)'!BC13</f>
        <v/>
      </c>
      <c r="BD44" s="133">
        <f>'RAF Cashflow (5yr)'!BD13</f>
        <v/>
      </c>
      <c r="BE44" s="133">
        <f>'RAF Cashflow (5yr)'!BE13</f>
        <v/>
      </c>
      <c r="BF44" s="133">
        <f>'RAF Cashflow (5yr)'!BF13</f>
        <v/>
      </c>
      <c r="BG44" s="133">
        <f>'RAF Cashflow (5yr)'!BG13</f>
        <v/>
      </c>
      <c r="BH44" s="133">
        <f>'RAF Cashflow (5yr)'!BH13</f>
        <v/>
      </c>
      <c r="BI44" s="133">
        <f>'RAF Cashflow (5yr)'!BI13</f>
        <v/>
      </c>
    </row>
    <row r="45">
      <c r="A45" s="38" t="inlineStr">
        <is>
          <t>Expenditures</t>
        </is>
      </c>
      <c r="B45" s="133">
        <f>B35</f>
        <v/>
      </c>
      <c r="C45" s="133">
        <f>C35</f>
        <v/>
      </c>
      <c r="D45" s="133">
        <f>D35</f>
        <v/>
      </c>
      <c r="E45" s="133">
        <f>E35</f>
        <v/>
      </c>
      <c r="F45" s="133">
        <f>F35</f>
        <v/>
      </c>
      <c r="G45" s="133">
        <f>G35</f>
        <v/>
      </c>
      <c r="H45" s="133">
        <f>H35</f>
        <v/>
      </c>
      <c r="I45" s="133">
        <f>I35</f>
        <v/>
      </c>
      <c r="J45" s="133">
        <f>J35</f>
        <v/>
      </c>
      <c r="K45" s="133">
        <f>K35</f>
        <v/>
      </c>
      <c r="L45" s="133">
        <f>L35</f>
        <v/>
      </c>
      <c r="M45" s="133">
        <f>M35</f>
        <v/>
      </c>
      <c r="N45" s="133">
        <f>N35</f>
        <v/>
      </c>
      <c r="O45" s="133">
        <f>O35</f>
        <v/>
      </c>
      <c r="P45" s="133">
        <f>P35</f>
        <v/>
      </c>
      <c r="Q45" s="133">
        <f>Q35</f>
        <v/>
      </c>
      <c r="R45" s="133">
        <f>R35</f>
        <v/>
      </c>
      <c r="S45" s="133">
        <f>S35</f>
        <v/>
      </c>
      <c r="T45" s="133">
        <f>T35</f>
        <v/>
      </c>
      <c r="U45" s="133">
        <f>U35</f>
        <v/>
      </c>
      <c r="V45" s="133">
        <f>V35</f>
        <v/>
      </c>
      <c r="W45" s="133">
        <f>W35</f>
        <v/>
      </c>
      <c r="X45" s="133">
        <f>X35</f>
        <v/>
      </c>
      <c r="Y45" s="133">
        <f>Y35</f>
        <v/>
      </c>
      <c r="Z45" s="133">
        <f>Z35</f>
        <v/>
      </c>
      <c r="AA45" s="133">
        <f>AA35</f>
        <v/>
      </c>
      <c r="AB45" s="133">
        <f>AB35</f>
        <v/>
      </c>
      <c r="AC45" s="133">
        <f>AC35</f>
        <v/>
      </c>
      <c r="AD45" s="133">
        <f>AD35</f>
        <v/>
      </c>
      <c r="AE45" s="133">
        <f>AE35</f>
        <v/>
      </c>
      <c r="AF45" s="133">
        <f>AF35</f>
        <v/>
      </c>
      <c r="AG45" s="133">
        <f>AG35</f>
        <v/>
      </c>
      <c r="AH45" s="133">
        <f>AH35</f>
        <v/>
      </c>
      <c r="AI45" s="133">
        <f>AI35</f>
        <v/>
      </c>
      <c r="AJ45" s="133">
        <f>AJ35</f>
        <v/>
      </c>
      <c r="AK45" s="133">
        <f>AK35</f>
        <v/>
      </c>
      <c r="AL45" s="133">
        <f>AL35</f>
        <v/>
      </c>
      <c r="AM45" s="133">
        <f>AM35</f>
        <v/>
      </c>
      <c r="AN45" s="133">
        <f>AN35</f>
        <v/>
      </c>
      <c r="AO45" s="133">
        <f>AO35</f>
        <v/>
      </c>
      <c r="AP45" s="133">
        <f>AP35</f>
        <v/>
      </c>
      <c r="AQ45" s="133">
        <f>AQ35</f>
        <v/>
      </c>
      <c r="AR45" s="133">
        <f>AR35</f>
        <v/>
      </c>
      <c r="AS45" s="133">
        <f>AS35</f>
        <v/>
      </c>
      <c r="AT45" s="133">
        <f>AT35</f>
        <v/>
      </c>
      <c r="AU45" s="133">
        <f>AU35</f>
        <v/>
      </c>
      <c r="AV45" s="133">
        <f>AV35</f>
        <v/>
      </c>
      <c r="AW45" s="133">
        <f>AW35</f>
        <v/>
      </c>
      <c r="AX45" s="133">
        <f>AX35</f>
        <v/>
      </c>
      <c r="AY45" s="133">
        <f>AY35</f>
        <v/>
      </c>
      <c r="AZ45" s="133">
        <f>AZ35</f>
        <v/>
      </c>
      <c r="BA45" s="133">
        <f>BA35</f>
        <v/>
      </c>
      <c r="BB45" s="133">
        <f>BB35</f>
        <v/>
      </c>
      <c r="BC45" s="133">
        <f>BC35</f>
        <v/>
      </c>
      <c r="BD45" s="133">
        <f>BD35</f>
        <v/>
      </c>
      <c r="BE45" s="133">
        <f>BE35</f>
        <v/>
      </c>
      <c r="BF45" s="133">
        <f>BF35</f>
        <v/>
      </c>
      <c r="BG45" s="133">
        <f>BG35</f>
        <v/>
      </c>
      <c r="BH45" s="133">
        <f>BH35</f>
        <v/>
      </c>
      <c r="BI45" s="133">
        <f>BI35</f>
        <v/>
      </c>
    </row>
    <row r="46">
      <c r="A46" s="108" t="inlineStr">
        <is>
          <t>Total Operating Expenses</t>
        </is>
      </c>
      <c r="B46" s="261">
        <f>sum(B44:B45)</f>
        <v/>
      </c>
      <c r="C46" s="261">
        <f>sum(C44:C45)</f>
        <v/>
      </c>
      <c r="D46" s="261">
        <f>sum(D44:D45)</f>
        <v/>
      </c>
      <c r="E46" s="261">
        <f>sum(E44:E45)</f>
        <v/>
      </c>
      <c r="F46" s="261">
        <f>sum(F44:F45)</f>
        <v/>
      </c>
      <c r="G46" s="261">
        <f>sum(G44:G45)</f>
        <v/>
      </c>
      <c r="H46" s="261">
        <f>sum(H44:H45)</f>
        <v/>
      </c>
      <c r="I46" s="261">
        <f>sum(I44:I45)</f>
        <v/>
      </c>
      <c r="J46" s="261">
        <f>sum(J44:J45)</f>
        <v/>
      </c>
      <c r="K46" s="261">
        <f>sum(K44:K45)</f>
        <v/>
      </c>
      <c r="L46" s="261">
        <f>sum(L44:L45)</f>
        <v/>
      </c>
      <c r="M46" s="261">
        <f>sum(M44:M45)</f>
        <v/>
      </c>
      <c r="N46" s="261">
        <f>sum(N44:N45)</f>
        <v/>
      </c>
      <c r="O46" s="261">
        <f>sum(O44:O45)</f>
        <v/>
      </c>
      <c r="P46" s="261">
        <f>sum(P44:P45)</f>
        <v/>
      </c>
      <c r="Q46" s="261">
        <f>sum(Q44:Q45)</f>
        <v/>
      </c>
      <c r="R46" s="261">
        <f>sum(R44:R45)</f>
        <v/>
      </c>
      <c r="S46" s="261">
        <f>sum(S44:S45)</f>
        <v/>
      </c>
      <c r="T46" s="261">
        <f>sum(T44:T45)</f>
        <v/>
      </c>
      <c r="U46" s="261">
        <f>sum(U44:U45)</f>
        <v/>
      </c>
      <c r="V46" s="261">
        <f>sum(V44:V45)</f>
        <v/>
      </c>
      <c r="W46" s="261">
        <f>sum(W44:W45)</f>
        <v/>
      </c>
      <c r="X46" s="261">
        <f>sum(X44:X45)</f>
        <v/>
      </c>
      <c r="Y46" s="261">
        <f>sum(Y44:Y45)</f>
        <v/>
      </c>
      <c r="Z46" s="261">
        <f>sum(Z44:Z45)</f>
        <v/>
      </c>
      <c r="AA46" s="261">
        <f>sum(AA44:AA45)</f>
        <v/>
      </c>
      <c r="AB46" s="261">
        <f>sum(AB44:AB45)</f>
        <v/>
      </c>
      <c r="AC46" s="261">
        <f>sum(AC44:AC45)</f>
        <v/>
      </c>
      <c r="AD46" s="261">
        <f>sum(AD44:AD45)</f>
        <v/>
      </c>
      <c r="AE46" s="261">
        <f>sum(AE44:AE45)</f>
        <v/>
      </c>
      <c r="AF46" s="261">
        <f>sum(AF44:AF45)</f>
        <v/>
      </c>
      <c r="AG46" s="261">
        <f>sum(AG44:AG45)</f>
        <v/>
      </c>
      <c r="AH46" s="261">
        <f>sum(AH44:AH45)</f>
        <v/>
      </c>
      <c r="AI46" s="261">
        <f>sum(AI44:AI45)</f>
        <v/>
      </c>
      <c r="AJ46" s="261">
        <f>sum(AJ44:AJ45)</f>
        <v/>
      </c>
      <c r="AK46" s="261">
        <f>sum(AK44:AK45)</f>
        <v/>
      </c>
      <c r="AL46" s="261">
        <f>sum(AL44:AL45)</f>
        <v/>
      </c>
      <c r="AM46" s="261">
        <f>sum(AM44:AM45)</f>
        <v/>
      </c>
      <c r="AN46" s="261">
        <f>sum(AN44:AN45)</f>
        <v/>
      </c>
      <c r="AO46" s="261">
        <f>sum(AO44:AO45)</f>
        <v/>
      </c>
      <c r="AP46" s="261">
        <f>sum(AP44:AP45)</f>
        <v/>
      </c>
      <c r="AQ46" s="261">
        <f>sum(AQ44:AQ45)</f>
        <v/>
      </c>
      <c r="AR46" s="261">
        <f>sum(AR44:AR45)</f>
        <v/>
      </c>
      <c r="AS46" s="261">
        <f>sum(AS44:AS45)</f>
        <v/>
      </c>
      <c r="AT46" s="261">
        <f>sum(AT44:AT45)</f>
        <v/>
      </c>
      <c r="AU46" s="261">
        <f>sum(AU44:AU45)</f>
        <v/>
      </c>
      <c r="AV46" s="261">
        <f>sum(AV44:AV45)</f>
        <v/>
      </c>
      <c r="AW46" s="261">
        <f>sum(AW44:AW45)</f>
        <v/>
      </c>
      <c r="AX46" s="261">
        <f>sum(AX44:AX45)</f>
        <v/>
      </c>
      <c r="AY46" s="261">
        <f>sum(AY44:AY45)</f>
        <v/>
      </c>
      <c r="AZ46" s="261">
        <f>sum(AZ44:AZ45)</f>
        <v/>
      </c>
      <c r="BA46" s="261">
        <f>sum(BA44:BA45)</f>
        <v/>
      </c>
      <c r="BB46" s="261">
        <f>sum(BB44:BB45)</f>
        <v/>
      </c>
      <c r="BC46" s="261">
        <f>sum(BC44:BC45)</f>
        <v/>
      </c>
      <c r="BD46" s="261">
        <f>sum(BD44:BD45)</f>
        <v/>
      </c>
      <c r="BE46" s="261">
        <f>sum(BE44:BE45)</f>
        <v/>
      </c>
      <c r="BF46" s="261">
        <f>sum(BF44:BF45)</f>
        <v/>
      </c>
      <c r="BG46" s="261">
        <f>sum(BG44:BG45)</f>
        <v/>
      </c>
      <c r="BH46" s="261">
        <f>sum(BH44:BH45)</f>
        <v/>
      </c>
      <c r="BI46" s="261">
        <f>sum(BI44:BI45)</f>
        <v/>
      </c>
    </row>
    <row r="47">
      <c r="A47" s="128" t="n"/>
      <c r="B47" s="128" t="n"/>
      <c r="C47" s="128" t="n"/>
      <c r="D47" s="128" t="n"/>
      <c r="E47" s="128" t="n"/>
      <c r="F47" s="128" t="n"/>
      <c r="G47" s="128" t="n"/>
      <c r="H47" s="128" t="n"/>
      <c r="I47" s="128" t="n"/>
      <c r="J47" s="128" t="n"/>
      <c r="K47" s="128" t="n"/>
      <c r="L47" s="128" t="n"/>
      <c r="M47" s="128" t="n"/>
      <c r="N47" s="128" t="n"/>
      <c r="O47" s="128" t="n"/>
      <c r="P47" s="128" t="n"/>
      <c r="Q47" s="128" t="n"/>
      <c r="R47" s="128" t="n"/>
      <c r="S47" s="128" t="n"/>
      <c r="T47" s="128" t="n"/>
      <c r="U47" s="128" t="n"/>
      <c r="V47" s="128" t="n"/>
      <c r="W47" s="128" t="n"/>
      <c r="X47" s="128" t="n"/>
      <c r="Y47" s="128" t="n"/>
      <c r="Z47" s="206" t="n"/>
      <c r="AA47" s="206" t="n"/>
      <c r="AB47" s="206" t="n"/>
      <c r="AC47" s="206" t="n"/>
      <c r="AD47" s="206" t="n"/>
      <c r="AE47" s="206" t="n"/>
      <c r="AF47" s="206" t="n"/>
      <c r="AG47" s="206" t="n"/>
      <c r="AH47" s="206" t="n"/>
      <c r="AI47" s="206" t="n"/>
      <c r="AJ47" s="206" t="n"/>
      <c r="AK47" s="206" t="n"/>
      <c r="AL47" s="206" t="n"/>
      <c r="AM47" s="206" t="n"/>
      <c r="AN47" s="206" t="n"/>
      <c r="AO47" s="206" t="n"/>
      <c r="AP47" s="206" t="n"/>
      <c r="AQ47" s="206" t="n"/>
      <c r="AR47" s="206" t="n"/>
      <c r="AS47" s="206" t="n"/>
      <c r="AT47" s="206" t="n"/>
      <c r="AU47" s="206" t="n"/>
      <c r="AV47" s="206" t="n"/>
      <c r="AW47" s="206" t="n"/>
      <c r="AX47" s="206" t="n"/>
      <c r="AY47" s="206" t="n"/>
      <c r="AZ47" s="206" t="n"/>
      <c r="BA47" s="206" t="n"/>
      <c r="BB47" s="206" t="n"/>
      <c r="BC47" s="206" t="n"/>
      <c r="BD47" s="206" t="n"/>
      <c r="BE47" s="206" t="n"/>
      <c r="BF47" s="206" t="n"/>
      <c r="BG47" s="206" t="n"/>
      <c r="BH47" s="206" t="n"/>
      <c r="BI47" s="206" t="n"/>
    </row>
    <row r="48">
      <c r="A48" s="36" t="inlineStr">
        <is>
          <t>Revenue Streams</t>
        </is>
      </c>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row>
    <row r="49">
      <c r="A49" s="38" t="inlineStr">
        <is>
          <t>Registration Fees</t>
        </is>
      </c>
      <c r="B49" s="133">
        <f>'Resource Supply (5yr)'!B22</f>
        <v/>
      </c>
      <c r="C49" s="133">
        <f>'Resource Supply (5yr)'!C22</f>
        <v/>
      </c>
      <c r="D49" s="133">
        <f>'Resource Supply (5yr)'!D22</f>
        <v/>
      </c>
      <c r="E49" s="133">
        <f>'Resource Supply (5yr)'!E22</f>
        <v/>
      </c>
      <c r="F49" s="133">
        <f>'Resource Supply (5yr)'!F22</f>
        <v/>
      </c>
      <c r="G49" s="133" t="n">
        <v>0</v>
      </c>
      <c r="H49" s="133">
        <f>'Resource Supply (5yr)'!G22/2</f>
        <v/>
      </c>
      <c r="I49" s="133">
        <f>'Resource Supply (5yr)'!I25</f>
        <v/>
      </c>
      <c r="J49" s="133" t="n">
        <v>0</v>
      </c>
      <c r="K49" s="133">
        <f>'Resource Supply (5yr)'!J22</f>
        <v/>
      </c>
      <c r="L49" s="133">
        <f>'Resource Supply (5yr)'!L22</f>
        <v/>
      </c>
      <c r="M49" s="133">
        <f>'Resource Supply (5yr)'!M22</f>
        <v/>
      </c>
      <c r="N49" s="133">
        <f>'Resource Supply (5yr)'!N22</f>
        <v/>
      </c>
      <c r="O49" s="133">
        <f>'Resource Supply (5yr)'!O22</f>
        <v/>
      </c>
      <c r="P49" s="133">
        <f>'Resource Supply (5yr)'!P22</f>
        <v/>
      </c>
      <c r="Q49" s="133">
        <f>'Resource Supply (5yr)'!Q22</f>
        <v/>
      </c>
      <c r="R49" s="133">
        <f>'Resource Supply (5yr)'!R22</f>
        <v/>
      </c>
      <c r="S49" s="133">
        <f>'Resource Supply (5yr)'!S22</f>
        <v/>
      </c>
      <c r="T49" s="133">
        <f>'Resource Supply (5yr)'!T22</f>
        <v/>
      </c>
      <c r="U49" s="133">
        <f>'Resource Supply (5yr)'!U22</f>
        <v/>
      </c>
      <c r="V49" s="133">
        <f>'Resource Supply (5yr)'!V22</f>
        <v/>
      </c>
      <c r="W49" s="133">
        <f>'Resource Supply (5yr)'!W22</f>
        <v/>
      </c>
      <c r="X49" s="133">
        <f>'Resource Supply (5yr)'!X22</f>
        <v/>
      </c>
      <c r="Y49" s="133">
        <f>'Resource Supply (5yr)'!Y22</f>
        <v/>
      </c>
      <c r="Z49" s="133">
        <f>'Resource Supply (5yr)'!Z22</f>
        <v/>
      </c>
      <c r="AA49" s="133">
        <f>'Resource Supply (5yr)'!AA22</f>
        <v/>
      </c>
      <c r="AB49" s="133">
        <f>'Resource Supply (5yr)'!AB22</f>
        <v/>
      </c>
      <c r="AC49" s="133">
        <f>'Resource Supply (5yr)'!AC22</f>
        <v/>
      </c>
      <c r="AD49" s="133">
        <f>'Resource Supply (5yr)'!AD22</f>
        <v/>
      </c>
      <c r="AE49" s="133">
        <f>'Resource Supply (5yr)'!AE22</f>
        <v/>
      </c>
      <c r="AF49" s="133">
        <f>'Resource Supply (5yr)'!AF22</f>
        <v/>
      </c>
      <c r="AG49" s="133">
        <f>'Resource Supply (5yr)'!AG22</f>
        <v/>
      </c>
      <c r="AH49" s="133">
        <f>'Resource Supply (5yr)'!AH22</f>
        <v/>
      </c>
      <c r="AI49" s="133">
        <f>'Resource Supply (5yr)'!AI22</f>
        <v/>
      </c>
      <c r="AJ49" s="133">
        <f>'Resource Supply (5yr)'!AJ22</f>
        <v/>
      </c>
      <c r="AK49" s="133">
        <f>'Resource Supply (5yr)'!AK22</f>
        <v/>
      </c>
      <c r="AL49" s="133">
        <f>'Resource Supply (5yr)'!AL22</f>
        <v/>
      </c>
      <c r="AM49" s="133">
        <f>'Resource Supply (5yr)'!AM22</f>
        <v/>
      </c>
      <c r="AN49" s="133">
        <f>'Resource Supply (5yr)'!AN22</f>
        <v/>
      </c>
      <c r="AO49" s="133">
        <f>'Resource Supply (5yr)'!AO22</f>
        <v/>
      </c>
      <c r="AP49" s="133">
        <f>'Resource Supply (5yr)'!AP22</f>
        <v/>
      </c>
      <c r="AQ49" s="133">
        <f>'Resource Supply (5yr)'!AQ22</f>
        <v/>
      </c>
      <c r="AR49" s="133">
        <f>'Resource Supply (5yr)'!AR22</f>
        <v/>
      </c>
      <c r="AS49" s="133">
        <f>'Resource Supply (5yr)'!AS22</f>
        <v/>
      </c>
      <c r="AT49" s="133">
        <f>'Resource Supply (5yr)'!AT22</f>
        <v/>
      </c>
      <c r="AU49" s="133">
        <f>'Resource Supply (5yr)'!AU22</f>
        <v/>
      </c>
      <c r="AV49" s="133">
        <f>'Resource Supply (5yr)'!AV22</f>
        <v/>
      </c>
      <c r="AW49" s="133">
        <f>'Resource Supply (5yr)'!AW22</f>
        <v/>
      </c>
      <c r="AX49" s="133">
        <f>'Resource Supply (5yr)'!AX22</f>
        <v/>
      </c>
      <c r="AY49" s="133">
        <f>'Resource Supply (5yr)'!AY22</f>
        <v/>
      </c>
      <c r="AZ49" s="133">
        <f>'Resource Supply (5yr)'!AZ22</f>
        <v/>
      </c>
      <c r="BA49" s="133">
        <f>'Resource Supply (5yr)'!BA22</f>
        <v/>
      </c>
      <c r="BB49" s="133">
        <f>'Resource Supply (5yr)'!BB22</f>
        <v/>
      </c>
      <c r="BC49" s="133">
        <f>'Resource Supply (5yr)'!BC22</f>
        <v/>
      </c>
      <c r="BD49" s="133">
        <f>'Resource Supply (5yr)'!BD22</f>
        <v/>
      </c>
      <c r="BE49" s="133">
        <f>'Resource Supply (5yr)'!BE22</f>
        <v/>
      </c>
      <c r="BF49" s="133">
        <f>'Resource Supply (5yr)'!BF22</f>
        <v/>
      </c>
      <c r="BG49" s="133">
        <f>'Resource Supply (5yr)'!BG22</f>
        <v/>
      </c>
      <c r="BH49" s="133">
        <f>'Resource Supply (5yr)'!BH22</f>
        <v/>
      </c>
      <c r="BI49" s="133">
        <f>'Resource Supply (5yr)'!BI22</f>
        <v/>
      </c>
    </row>
    <row r="50">
      <c r="A50" s="38" t="inlineStr">
        <is>
          <t>Yearly Admin Fees</t>
        </is>
      </c>
      <c r="B50" s="133">
        <f>'Resource Supply (5yr)'!B23</f>
        <v/>
      </c>
      <c r="C50" s="133">
        <f>'Resource Supply (5yr)'!C23</f>
        <v/>
      </c>
      <c r="D50" s="133">
        <f>'Resource Supply (5yr)'!D23</f>
        <v/>
      </c>
      <c r="E50" s="133">
        <f>'Resource Supply (5yr)'!E23</f>
        <v/>
      </c>
      <c r="F50" s="133">
        <f>'Resource Supply (5yr)'!F23</f>
        <v/>
      </c>
      <c r="G50" s="133" t="n">
        <v>0</v>
      </c>
      <c r="H50" s="133">
        <f>'Resource Supply (5yr)'!G23/2</f>
        <v/>
      </c>
      <c r="I50" s="133">
        <f>'Resource Supply (5yr)'!I23</f>
        <v/>
      </c>
      <c r="J50" s="133" t="n">
        <v>0</v>
      </c>
      <c r="K50" s="133">
        <f>'Resource Supply (5yr)'!J23</f>
        <v/>
      </c>
      <c r="L50" s="133">
        <f>'Resource Supply (5yr)'!L23</f>
        <v/>
      </c>
      <c r="M50" s="133">
        <f>'Resource Supply (5yr)'!M23</f>
        <v/>
      </c>
      <c r="N50" s="133">
        <f>'Resource Supply (5yr)'!N23</f>
        <v/>
      </c>
      <c r="O50" s="133">
        <f>'Resource Supply (5yr)'!O23</f>
        <v/>
      </c>
      <c r="P50" s="133">
        <f>'Resource Supply (5yr)'!P23</f>
        <v/>
      </c>
      <c r="Q50" s="133">
        <f>'Resource Supply (5yr)'!Q23</f>
        <v/>
      </c>
      <c r="R50" s="133">
        <f>'Resource Supply (5yr)'!R23</f>
        <v/>
      </c>
      <c r="S50" s="133">
        <f>'Resource Supply (5yr)'!S23</f>
        <v/>
      </c>
      <c r="T50" s="133">
        <f>'Resource Supply (5yr)'!T23</f>
        <v/>
      </c>
      <c r="U50" s="133">
        <f>'Resource Supply (5yr)'!U23</f>
        <v/>
      </c>
      <c r="V50" s="133">
        <f>'Resource Supply (5yr)'!V23</f>
        <v/>
      </c>
      <c r="W50" s="133">
        <f>'Resource Supply (5yr)'!W23</f>
        <v/>
      </c>
      <c r="X50" s="133">
        <f>'Resource Supply (5yr)'!X23</f>
        <v/>
      </c>
      <c r="Y50" s="133">
        <f>'Resource Supply (5yr)'!Y23</f>
        <v/>
      </c>
      <c r="Z50" s="133">
        <f>'Resource Supply (5yr)'!Z23</f>
        <v/>
      </c>
      <c r="AA50" s="133">
        <f>'Resource Supply (5yr)'!AA23</f>
        <v/>
      </c>
      <c r="AB50" s="133">
        <f>'Resource Supply (5yr)'!AB23</f>
        <v/>
      </c>
      <c r="AC50" s="133">
        <f>'Resource Supply (5yr)'!AC23</f>
        <v/>
      </c>
      <c r="AD50" s="133">
        <f>'Resource Supply (5yr)'!AD23</f>
        <v/>
      </c>
      <c r="AE50" s="133">
        <f>'Resource Supply (5yr)'!AE23</f>
        <v/>
      </c>
      <c r="AF50" s="133">
        <f>'Resource Supply (5yr)'!AF23</f>
        <v/>
      </c>
      <c r="AG50" s="133">
        <f>'Resource Supply (5yr)'!AG23</f>
        <v/>
      </c>
      <c r="AH50" s="133">
        <f>'Resource Supply (5yr)'!AH23</f>
        <v/>
      </c>
      <c r="AI50" s="133">
        <f>'Resource Supply (5yr)'!AI23</f>
        <v/>
      </c>
      <c r="AJ50" s="133">
        <f>'Resource Supply (5yr)'!AJ23</f>
        <v/>
      </c>
      <c r="AK50" s="133">
        <f>'Resource Supply (5yr)'!AK23</f>
        <v/>
      </c>
      <c r="AL50" s="133">
        <f>'Resource Supply (5yr)'!AL23</f>
        <v/>
      </c>
      <c r="AM50" s="133">
        <f>'Resource Supply (5yr)'!AM23</f>
        <v/>
      </c>
      <c r="AN50" s="133">
        <f>'Resource Supply (5yr)'!AN23</f>
        <v/>
      </c>
      <c r="AO50" s="133">
        <f>'Resource Supply (5yr)'!AO23</f>
        <v/>
      </c>
      <c r="AP50" s="133">
        <f>'Resource Supply (5yr)'!AP23</f>
        <v/>
      </c>
      <c r="AQ50" s="133">
        <f>'Resource Supply (5yr)'!AQ23</f>
        <v/>
      </c>
      <c r="AR50" s="133">
        <f>'Resource Supply (5yr)'!AR23</f>
        <v/>
      </c>
      <c r="AS50" s="133">
        <f>'Resource Supply (5yr)'!AS23</f>
        <v/>
      </c>
      <c r="AT50" s="133">
        <f>'Resource Supply (5yr)'!AT23</f>
        <v/>
      </c>
      <c r="AU50" s="133">
        <f>'Resource Supply (5yr)'!AU23</f>
        <v/>
      </c>
      <c r="AV50" s="133">
        <f>'Resource Supply (5yr)'!AV23</f>
        <v/>
      </c>
      <c r="AW50" s="133">
        <f>'Resource Supply (5yr)'!AW23</f>
        <v/>
      </c>
      <c r="AX50" s="133">
        <f>'Resource Supply (5yr)'!AX23</f>
        <v/>
      </c>
      <c r="AY50" s="133">
        <f>'Resource Supply (5yr)'!AY23</f>
        <v/>
      </c>
      <c r="AZ50" s="133">
        <f>'Resource Supply (5yr)'!AZ23</f>
        <v/>
      </c>
      <c r="BA50" s="133">
        <f>'Resource Supply (5yr)'!BA23</f>
        <v/>
      </c>
      <c r="BB50" s="133">
        <f>'Resource Supply (5yr)'!BB23</f>
        <v/>
      </c>
      <c r="BC50" s="133">
        <f>'Resource Supply (5yr)'!BC23</f>
        <v/>
      </c>
      <c r="BD50" s="133">
        <f>'Resource Supply (5yr)'!BD23</f>
        <v/>
      </c>
      <c r="BE50" s="133">
        <f>'Resource Supply (5yr)'!BE23</f>
        <v/>
      </c>
      <c r="BF50" s="133">
        <f>'Resource Supply (5yr)'!BF23</f>
        <v/>
      </c>
      <c r="BG50" s="133">
        <f>'Resource Supply (5yr)'!BG23</f>
        <v/>
      </c>
      <c r="BH50" s="133">
        <f>'Resource Supply (5yr)'!BH23</f>
        <v/>
      </c>
      <c r="BI50" s="133">
        <f>'Resource Supply (5yr)'!BI23</f>
        <v/>
      </c>
    </row>
    <row r="51">
      <c r="A51" s="38" t="inlineStr">
        <is>
          <t>Token Minting Fees</t>
        </is>
      </c>
      <c r="B51" s="133" t="n">
        <v>0</v>
      </c>
      <c r="C51" s="133" t="n">
        <v>0</v>
      </c>
      <c r="D51" s="133" t="n">
        <v>0</v>
      </c>
      <c r="E51" s="133" t="n">
        <v>0</v>
      </c>
      <c r="F51" s="133" t="n">
        <v>0</v>
      </c>
      <c r="G51" s="133" t="n">
        <v>0</v>
      </c>
      <c r="H51" s="133" t="n">
        <v>0</v>
      </c>
      <c r="I51" s="133" t="n">
        <v>0</v>
      </c>
      <c r="J51" s="133" t="n">
        <v>0</v>
      </c>
      <c r="K51" s="133" t="n">
        <v>0</v>
      </c>
      <c r="L51" s="133" t="n">
        <v>0</v>
      </c>
      <c r="M51" s="133">
        <f>'Resource Supply (5yr)'!M24</f>
        <v/>
      </c>
      <c r="N51" s="133">
        <f>'Resource Supply (5yr)'!N24+'Resource Supply (5yr)'!L24</f>
        <v/>
      </c>
      <c r="O51" s="133">
        <f>'Resource Supply (5yr)'!O24</f>
        <v/>
      </c>
      <c r="P51" s="133">
        <f>'Resource Supply (5yr)'!P24</f>
        <v/>
      </c>
      <c r="Q51" s="133">
        <f>'Resource Supply (5yr)'!Q24</f>
        <v/>
      </c>
      <c r="R51" s="133">
        <f>'Resource Supply (5yr)'!R24</f>
        <v/>
      </c>
      <c r="S51" s="133">
        <f>'Resource Supply (5yr)'!S24</f>
        <v/>
      </c>
      <c r="T51" s="133">
        <f>'Resource Supply (5yr)'!T24</f>
        <v/>
      </c>
      <c r="U51" s="133">
        <f>'Resource Supply (5yr)'!U24</f>
        <v/>
      </c>
      <c r="V51" s="133">
        <f>'Resource Supply (5yr)'!V24</f>
        <v/>
      </c>
      <c r="W51" s="133">
        <f>'Resource Supply (5yr)'!W24</f>
        <v/>
      </c>
      <c r="X51" s="133">
        <f>'Resource Supply (5yr)'!X24</f>
        <v/>
      </c>
      <c r="Y51" s="133">
        <f>'Resource Supply (5yr)'!Y24</f>
        <v/>
      </c>
      <c r="Z51" s="133">
        <f>'Resource Supply (5yr)'!Z24</f>
        <v/>
      </c>
      <c r="AA51" s="133">
        <f>'Resource Supply (5yr)'!AA24</f>
        <v/>
      </c>
      <c r="AB51" s="133">
        <f>'Resource Supply (5yr)'!AB24</f>
        <v/>
      </c>
      <c r="AC51" s="133">
        <f>'Resource Supply (5yr)'!AC24</f>
        <v/>
      </c>
      <c r="AD51" s="133">
        <f>'Resource Supply (5yr)'!AD24</f>
        <v/>
      </c>
      <c r="AE51" s="133">
        <f>'Resource Supply (5yr)'!AE24</f>
        <v/>
      </c>
      <c r="AF51" s="133">
        <f>'Resource Supply (5yr)'!AF24</f>
        <v/>
      </c>
      <c r="AG51" s="133">
        <f>'Resource Supply (5yr)'!AG24</f>
        <v/>
      </c>
      <c r="AH51" s="133">
        <f>'Resource Supply (5yr)'!AH24</f>
        <v/>
      </c>
      <c r="AI51" s="133">
        <f>'Resource Supply (5yr)'!AI24</f>
        <v/>
      </c>
      <c r="AJ51" s="133">
        <f>'Resource Supply (5yr)'!AJ24</f>
        <v/>
      </c>
      <c r="AK51" s="133">
        <f>'Resource Supply (5yr)'!AK24</f>
        <v/>
      </c>
      <c r="AL51" s="133">
        <f>'Resource Supply (5yr)'!AL24</f>
        <v/>
      </c>
      <c r="AM51" s="133">
        <f>'Resource Supply (5yr)'!AM24</f>
        <v/>
      </c>
      <c r="AN51" s="133">
        <f>'Resource Supply (5yr)'!AN24</f>
        <v/>
      </c>
      <c r="AO51" s="133">
        <f>'Resource Supply (5yr)'!AO24</f>
        <v/>
      </c>
      <c r="AP51" s="133">
        <f>'Resource Supply (5yr)'!AP24</f>
        <v/>
      </c>
      <c r="AQ51" s="133">
        <f>'Resource Supply (5yr)'!AQ24</f>
        <v/>
      </c>
      <c r="AR51" s="133">
        <f>'Resource Supply (5yr)'!AR24</f>
        <v/>
      </c>
      <c r="AS51" s="133">
        <f>'Resource Supply (5yr)'!AS24</f>
        <v/>
      </c>
      <c r="AT51" s="133">
        <f>'Resource Supply (5yr)'!AT24</f>
        <v/>
      </c>
      <c r="AU51" s="133">
        <f>'Resource Supply (5yr)'!AU24</f>
        <v/>
      </c>
      <c r="AV51" s="133">
        <f>'Resource Supply (5yr)'!AV24</f>
        <v/>
      </c>
      <c r="AW51" s="133">
        <f>'Resource Supply (5yr)'!AW24</f>
        <v/>
      </c>
      <c r="AX51" s="133">
        <f>'Resource Supply (5yr)'!AX24</f>
        <v/>
      </c>
      <c r="AY51" s="133">
        <f>'Resource Supply (5yr)'!AY24</f>
        <v/>
      </c>
      <c r="AZ51" s="133">
        <f>'Resource Supply (5yr)'!AZ24</f>
        <v/>
      </c>
      <c r="BA51" s="133">
        <f>'Resource Supply (5yr)'!BA24</f>
        <v/>
      </c>
      <c r="BB51" s="133">
        <f>'Resource Supply (5yr)'!BB24</f>
        <v/>
      </c>
      <c r="BC51" s="133">
        <f>'Resource Supply (5yr)'!BC24</f>
        <v/>
      </c>
      <c r="BD51" s="133">
        <f>'Resource Supply (5yr)'!BD24</f>
        <v/>
      </c>
      <c r="BE51" s="133">
        <f>'Resource Supply (5yr)'!BE24</f>
        <v/>
      </c>
      <c r="BF51" s="133">
        <f>'Resource Supply (5yr)'!BF24</f>
        <v/>
      </c>
      <c r="BG51" s="133">
        <f>'Resource Supply (5yr)'!BG24</f>
        <v/>
      </c>
      <c r="BH51" s="133">
        <f>'Resource Supply (5yr)'!BH24</f>
        <v/>
      </c>
      <c r="BI51" s="133">
        <f>'Resource Supply (5yr)'!BI24</f>
        <v/>
      </c>
    </row>
    <row r="52">
      <c r="A52" s="38" t="inlineStr">
        <is>
          <t>Token Transfer Tax Revenue Share</t>
        </is>
      </c>
      <c r="B52" s="133">
        <f>'Token Demand (5yr)'!B30</f>
        <v/>
      </c>
      <c r="C52" s="133">
        <f>'Token Demand (5yr)'!C30</f>
        <v/>
      </c>
      <c r="D52" s="133">
        <f>'Token Demand (5yr)'!D30</f>
        <v/>
      </c>
      <c r="E52" s="133">
        <f>'Token Demand (5yr)'!E30</f>
        <v/>
      </c>
      <c r="F52" s="133">
        <f>'Token Demand (5yr)'!F30</f>
        <v/>
      </c>
      <c r="G52" s="133">
        <f>'Token Demand (5yr)'!G30</f>
        <v/>
      </c>
      <c r="H52" s="133">
        <f>'Token Demand (5yr)'!H30</f>
        <v/>
      </c>
      <c r="I52" s="133">
        <f>'Token Demand (5yr)'!I30</f>
        <v/>
      </c>
      <c r="J52" s="133">
        <f>'Token Demand (5yr)'!J30</f>
        <v/>
      </c>
      <c r="K52" s="133">
        <f>'Token Demand (5yr)'!K30</f>
        <v/>
      </c>
      <c r="L52" s="133">
        <f>'Token Demand (5yr)'!L30</f>
        <v/>
      </c>
      <c r="M52" s="133">
        <f>'Token Demand (5yr)'!M30</f>
        <v/>
      </c>
      <c r="N52" s="133">
        <f>'Token Demand (5yr)'!N30</f>
        <v/>
      </c>
      <c r="O52" s="133">
        <f>'Token Demand (5yr)'!O30</f>
        <v/>
      </c>
      <c r="P52" s="133">
        <f>'Token Demand (5yr)'!P30</f>
        <v/>
      </c>
      <c r="Q52" s="133">
        <f>'Token Demand (5yr)'!Q30</f>
        <v/>
      </c>
      <c r="R52" s="133">
        <f>'Token Demand (5yr)'!R30</f>
        <v/>
      </c>
      <c r="S52" s="133">
        <f>'Token Demand (5yr)'!S30</f>
        <v/>
      </c>
      <c r="T52" s="133">
        <f>'Token Demand (5yr)'!T30</f>
        <v/>
      </c>
      <c r="U52" s="133">
        <f>'Token Demand (5yr)'!U30</f>
        <v/>
      </c>
      <c r="V52" s="133">
        <f>'Token Demand (5yr)'!V30</f>
        <v/>
      </c>
      <c r="W52" s="133">
        <f>'Token Demand (5yr)'!W30</f>
        <v/>
      </c>
      <c r="X52" s="133">
        <f>'Token Demand (5yr)'!X30</f>
        <v/>
      </c>
      <c r="Y52" s="133">
        <f>'Token Demand (5yr)'!Y30</f>
        <v/>
      </c>
      <c r="Z52" s="133">
        <f>'Token Demand (5yr)'!Z30</f>
        <v/>
      </c>
      <c r="AA52" s="133">
        <f>'Token Demand (5yr)'!AA30</f>
        <v/>
      </c>
      <c r="AB52" s="133">
        <f>'Token Demand (5yr)'!AB30</f>
        <v/>
      </c>
      <c r="AC52" s="133">
        <f>'Token Demand (5yr)'!AC30</f>
        <v/>
      </c>
      <c r="AD52" s="133">
        <f>'Token Demand (5yr)'!AD30</f>
        <v/>
      </c>
      <c r="AE52" s="133">
        <f>'Token Demand (5yr)'!AE30</f>
        <v/>
      </c>
      <c r="AF52" s="133">
        <f>'Token Demand (5yr)'!AF30</f>
        <v/>
      </c>
      <c r="AG52" s="133">
        <f>'Token Demand (5yr)'!AG30</f>
        <v/>
      </c>
      <c r="AH52" s="133">
        <f>'Token Demand (5yr)'!AH30</f>
        <v/>
      </c>
      <c r="AI52" s="133">
        <f>'Token Demand (5yr)'!AI30</f>
        <v/>
      </c>
      <c r="AJ52" s="133">
        <f>'Token Demand (5yr)'!AJ30</f>
        <v/>
      </c>
      <c r="AK52" s="133">
        <f>'Token Demand (5yr)'!AK30</f>
        <v/>
      </c>
      <c r="AL52" s="133">
        <f>'Token Demand (5yr)'!AL30</f>
        <v/>
      </c>
      <c r="AM52" s="133">
        <f>'Token Demand (5yr)'!AM30</f>
        <v/>
      </c>
      <c r="AN52" s="133">
        <f>'Token Demand (5yr)'!AN30</f>
        <v/>
      </c>
      <c r="AO52" s="133">
        <f>'Token Demand (5yr)'!AO30</f>
        <v/>
      </c>
      <c r="AP52" s="133">
        <f>'Token Demand (5yr)'!AP30</f>
        <v/>
      </c>
      <c r="AQ52" s="133">
        <f>'Token Demand (5yr)'!AQ30</f>
        <v/>
      </c>
      <c r="AR52" s="133">
        <f>'Token Demand (5yr)'!AR30</f>
        <v/>
      </c>
      <c r="AS52" s="133">
        <f>'Token Demand (5yr)'!AS30</f>
        <v/>
      </c>
      <c r="AT52" s="133">
        <f>'Token Demand (5yr)'!AT30</f>
        <v/>
      </c>
      <c r="AU52" s="133">
        <f>'Token Demand (5yr)'!AU30</f>
        <v/>
      </c>
      <c r="AV52" s="133">
        <f>'Token Demand (5yr)'!AV30</f>
        <v/>
      </c>
      <c r="AW52" s="133">
        <f>'Token Demand (5yr)'!AW30</f>
        <v/>
      </c>
      <c r="AX52" s="133">
        <f>'Token Demand (5yr)'!AX30</f>
        <v/>
      </c>
      <c r="AY52" s="133">
        <f>'Token Demand (5yr)'!AY30</f>
        <v/>
      </c>
      <c r="AZ52" s="133">
        <f>'Token Demand (5yr)'!AZ30</f>
        <v/>
      </c>
      <c r="BA52" s="133">
        <f>'Token Demand (5yr)'!BA30</f>
        <v/>
      </c>
      <c r="BB52" s="133">
        <f>'Token Demand (5yr)'!BB30</f>
        <v/>
      </c>
      <c r="BC52" s="133">
        <f>'Token Demand (5yr)'!BC30</f>
        <v/>
      </c>
      <c r="BD52" s="133">
        <f>'Token Demand (5yr)'!BD30</f>
        <v/>
      </c>
      <c r="BE52" s="133">
        <f>'Token Demand (5yr)'!BE30</f>
        <v/>
      </c>
      <c r="BF52" s="133">
        <f>'Token Demand (5yr)'!BF30</f>
        <v/>
      </c>
      <c r="BG52" s="133">
        <f>'Token Demand (5yr)'!BG30</f>
        <v/>
      </c>
      <c r="BH52" s="133">
        <f>'Token Demand (5yr)'!BH30</f>
        <v/>
      </c>
      <c r="BI52" s="133">
        <f>'Token Demand (5yr)'!BI30</f>
        <v/>
      </c>
    </row>
    <row r="53">
      <c r="A53" s="108" t="inlineStr">
        <is>
          <t>Total Revenue</t>
        </is>
      </c>
      <c r="B53" s="261">
        <f>SUM(B50)</f>
        <v/>
      </c>
      <c r="C53" s="261">
        <f>SUM(C50)</f>
        <v/>
      </c>
      <c r="D53" s="261">
        <f>SUM(D50)</f>
        <v/>
      </c>
      <c r="E53" s="261">
        <f>SUM(E50)</f>
        <v/>
      </c>
      <c r="F53" s="261">
        <f>SUM(F50)</f>
        <v/>
      </c>
      <c r="G53" s="261">
        <f>SUM(G49:G50)</f>
        <v/>
      </c>
      <c r="H53" s="261">
        <f>SUM(H49:H50)</f>
        <v/>
      </c>
      <c r="I53" s="261">
        <f>SUM(I49:I51)</f>
        <v/>
      </c>
      <c r="J53" s="261">
        <f>SUM(J49:J52)</f>
        <v/>
      </c>
      <c r="K53" s="261">
        <f>SUM(K49:K52)</f>
        <v/>
      </c>
      <c r="L53" s="261">
        <f>SUM(L49:L52)</f>
        <v/>
      </c>
      <c r="M53" s="261">
        <f>SUM(M49:M52)</f>
        <v/>
      </c>
      <c r="N53" s="261">
        <f>SUM(N49:N52)</f>
        <v/>
      </c>
      <c r="O53" s="261">
        <f>SUM(O49:O52)</f>
        <v/>
      </c>
      <c r="P53" s="261">
        <f>SUM(P49:P52)</f>
        <v/>
      </c>
      <c r="Q53" s="261">
        <f>SUM(Q49:Q52)</f>
        <v/>
      </c>
      <c r="R53" s="261">
        <f>SUM(R49:R52)</f>
        <v/>
      </c>
      <c r="S53" s="261">
        <f>SUM(S49:S52)</f>
        <v/>
      </c>
      <c r="T53" s="261">
        <f>SUM(T49:T52)</f>
        <v/>
      </c>
      <c r="U53" s="261">
        <f>SUM(U49:U52)</f>
        <v/>
      </c>
      <c r="V53" s="261">
        <f>SUM(V49:V52)</f>
        <v/>
      </c>
      <c r="W53" s="261">
        <f>SUM(W49:W52)</f>
        <v/>
      </c>
      <c r="X53" s="261">
        <f>SUM(X49:X52)</f>
        <v/>
      </c>
      <c r="Y53" s="261">
        <f>SUM(Y49:Y52)</f>
        <v/>
      </c>
      <c r="Z53" s="261">
        <f>SUM(Z49:Z52)</f>
        <v/>
      </c>
      <c r="AA53" s="261">
        <f>SUM(AA49:AA52)</f>
        <v/>
      </c>
      <c r="AB53" s="261">
        <f>SUM(AB49:AB52)</f>
        <v/>
      </c>
      <c r="AC53" s="261">
        <f>SUM(AC49:AC52)</f>
        <v/>
      </c>
      <c r="AD53" s="261">
        <f>SUM(AD49:AD52)</f>
        <v/>
      </c>
      <c r="AE53" s="261">
        <f>SUM(AE49:AE52)</f>
        <v/>
      </c>
      <c r="AF53" s="261">
        <f>SUM(AF49:AF52)</f>
        <v/>
      </c>
      <c r="AG53" s="261">
        <f>SUM(AG49:AG52)</f>
        <v/>
      </c>
      <c r="AH53" s="261">
        <f>SUM(AH49:AH52)</f>
        <v/>
      </c>
      <c r="AI53" s="261">
        <f>SUM(AI49:AI52)</f>
        <v/>
      </c>
      <c r="AJ53" s="261">
        <f>SUM(AJ49:AJ52)</f>
        <v/>
      </c>
      <c r="AK53" s="261">
        <f>SUM(AK49:AK52)</f>
        <v/>
      </c>
      <c r="AL53" s="261">
        <f>SUM(AL49:AL52)</f>
        <v/>
      </c>
      <c r="AM53" s="261">
        <f>SUM(AM49:AM52)</f>
        <v/>
      </c>
      <c r="AN53" s="261">
        <f>SUM(AN49:AN52)</f>
        <v/>
      </c>
      <c r="AO53" s="261">
        <f>SUM(AO49:AO52)</f>
        <v/>
      </c>
      <c r="AP53" s="261">
        <f>SUM(AP49:AP52)</f>
        <v/>
      </c>
      <c r="AQ53" s="261">
        <f>SUM(AQ49:AQ52)</f>
        <v/>
      </c>
      <c r="AR53" s="261">
        <f>SUM(AR49:AR52)</f>
        <v/>
      </c>
      <c r="AS53" s="261">
        <f>SUM(AS49:AS52)</f>
        <v/>
      </c>
      <c r="AT53" s="261">
        <f>SUM(AT49:AT52)</f>
        <v/>
      </c>
      <c r="AU53" s="261">
        <f>SUM(AU49:AU52)</f>
        <v/>
      </c>
      <c r="AV53" s="261">
        <f>SUM(AV49:AV52)</f>
        <v/>
      </c>
      <c r="AW53" s="261">
        <f>SUM(AW49:AW52)</f>
        <v/>
      </c>
      <c r="AX53" s="261">
        <f>SUM(AX49:AX52)</f>
        <v/>
      </c>
      <c r="AY53" s="261">
        <f>SUM(AY49:AY52)</f>
        <v/>
      </c>
      <c r="AZ53" s="261">
        <f>SUM(AZ49:AZ52)</f>
        <v/>
      </c>
      <c r="BA53" s="261">
        <f>SUM(BA49:BA52)</f>
        <v/>
      </c>
      <c r="BB53" s="261">
        <f>SUM(BB49:BB52)</f>
        <v/>
      </c>
      <c r="BC53" s="261">
        <f>SUM(BC49:BC52)</f>
        <v/>
      </c>
      <c r="BD53" s="261">
        <f>SUM(BD49:BD52)</f>
        <v/>
      </c>
      <c r="BE53" s="261">
        <f>SUM(BE49:BE52)</f>
        <v/>
      </c>
      <c r="BF53" s="261">
        <f>SUM(BF49:BF52)</f>
        <v/>
      </c>
      <c r="BG53" s="261">
        <f>SUM(BG49:BG52)</f>
        <v/>
      </c>
      <c r="BH53" s="261">
        <f>SUM(BH49:BH52)</f>
        <v/>
      </c>
      <c r="BI53" s="261">
        <f>SUM(BI49:BI52)</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206" t="n"/>
      <c r="AA54" s="206" t="n"/>
      <c r="AB54" s="206" t="n"/>
      <c r="AC54" s="206" t="n"/>
      <c r="AD54" s="206" t="n"/>
      <c r="AE54" s="206" t="n"/>
      <c r="AF54" s="206" t="n"/>
      <c r="AG54" s="206" t="n"/>
      <c r="AH54" s="206" t="n"/>
      <c r="AI54" s="206" t="n"/>
      <c r="AJ54" s="206" t="n"/>
      <c r="AK54" s="206" t="n"/>
      <c r="AL54" s="206" t="n"/>
      <c r="AM54" s="206" t="n"/>
      <c r="AN54" s="206" t="n"/>
      <c r="AO54" s="206" t="n"/>
      <c r="AP54" s="206" t="n"/>
      <c r="AQ54" s="206" t="n"/>
      <c r="AR54" s="206" t="n"/>
      <c r="AS54" s="206" t="n"/>
      <c r="AT54" s="206" t="n"/>
      <c r="AU54" s="206" t="n"/>
      <c r="AV54" s="206" t="n"/>
      <c r="AW54" s="206" t="n"/>
      <c r="AX54" s="206" t="n"/>
      <c r="AY54" s="206" t="n"/>
      <c r="AZ54" s="206" t="n"/>
      <c r="BA54" s="206" t="n"/>
      <c r="BB54" s="206" t="n"/>
      <c r="BC54" s="206" t="n"/>
      <c r="BD54" s="206" t="n"/>
      <c r="BE54" s="206" t="n"/>
      <c r="BF54" s="206" t="n"/>
      <c r="BG54" s="206" t="n"/>
      <c r="BH54" s="206" t="n"/>
      <c r="BI54" s="206" t="n"/>
    </row>
    <row r="55">
      <c r="A55" s="36" t="inlineStr">
        <is>
          <t>Summary</t>
        </is>
      </c>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row>
    <row r="56">
      <c r="A56" s="38" t="inlineStr">
        <is>
          <t>Operating Expenses</t>
        </is>
      </c>
      <c r="B56" s="133">
        <f>-B46</f>
        <v/>
      </c>
      <c r="C56" s="133">
        <f>-C46</f>
        <v/>
      </c>
      <c r="D56" s="133">
        <f>-D46</f>
        <v/>
      </c>
      <c r="E56" s="133">
        <f>-E46</f>
        <v/>
      </c>
      <c r="F56" s="133">
        <f>-F46</f>
        <v/>
      </c>
      <c r="G56" s="133">
        <f>-G46</f>
        <v/>
      </c>
      <c r="H56" s="133">
        <f>-H46</f>
        <v/>
      </c>
      <c r="I56" s="133">
        <f>-I46</f>
        <v/>
      </c>
      <c r="J56" s="133">
        <f>-J46</f>
        <v/>
      </c>
      <c r="K56" s="133">
        <f>-K46</f>
        <v/>
      </c>
      <c r="L56" s="133">
        <f>-L46</f>
        <v/>
      </c>
      <c r="M56" s="133">
        <f>-M46</f>
        <v/>
      </c>
      <c r="N56" s="133">
        <f>-N46</f>
        <v/>
      </c>
      <c r="O56" s="133">
        <f>-O46</f>
        <v/>
      </c>
      <c r="P56" s="133">
        <f>-P46</f>
        <v/>
      </c>
      <c r="Q56" s="133">
        <f>-Q46</f>
        <v/>
      </c>
      <c r="R56" s="133">
        <f>-R46</f>
        <v/>
      </c>
      <c r="S56" s="133">
        <f>-S46</f>
        <v/>
      </c>
      <c r="T56" s="133">
        <f>-T46</f>
        <v/>
      </c>
      <c r="U56" s="133">
        <f>-U46</f>
        <v/>
      </c>
      <c r="V56" s="133">
        <f>-V46</f>
        <v/>
      </c>
      <c r="W56" s="133">
        <f>-W46</f>
        <v/>
      </c>
      <c r="X56" s="133">
        <f>-X46</f>
        <v/>
      </c>
      <c r="Y56" s="133">
        <f>-Y46</f>
        <v/>
      </c>
      <c r="Z56" s="133">
        <f>-Z46</f>
        <v/>
      </c>
      <c r="AA56" s="133">
        <f>-AA46</f>
        <v/>
      </c>
      <c r="AB56" s="133">
        <f>-AB46</f>
        <v/>
      </c>
      <c r="AC56" s="133">
        <f>-AC46</f>
        <v/>
      </c>
      <c r="AD56" s="133">
        <f>-AD46</f>
        <v/>
      </c>
      <c r="AE56" s="133">
        <f>-AE46</f>
        <v/>
      </c>
      <c r="AF56" s="133">
        <f>-AF46</f>
        <v/>
      </c>
      <c r="AG56" s="133">
        <f>-AG46</f>
        <v/>
      </c>
      <c r="AH56" s="133">
        <f>-AH46</f>
        <v/>
      </c>
      <c r="AI56" s="133">
        <f>-AI46</f>
        <v/>
      </c>
      <c r="AJ56" s="133">
        <f>-AJ46</f>
        <v/>
      </c>
      <c r="AK56" s="133">
        <f>-AK46</f>
        <v/>
      </c>
      <c r="AL56" s="133">
        <f>-AL46</f>
        <v/>
      </c>
      <c r="AM56" s="133">
        <f>-AM46</f>
        <v/>
      </c>
      <c r="AN56" s="133">
        <f>-AN46</f>
        <v/>
      </c>
      <c r="AO56" s="133">
        <f>-AO46</f>
        <v/>
      </c>
      <c r="AP56" s="133">
        <f>-AP46</f>
        <v/>
      </c>
      <c r="AQ56" s="133">
        <f>-AQ46</f>
        <v/>
      </c>
      <c r="AR56" s="133">
        <f>-AR46</f>
        <v/>
      </c>
      <c r="AS56" s="133">
        <f>-AS46</f>
        <v/>
      </c>
      <c r="AT56" s="133">
        <f>-AT46</f>
        <v/>
      </c>
      <c r="AU56" s="133">
        <f>-AU46</f>
        <v/>
      </c>
      <c r="AV56" s="133">
        <f>-AV46</f>
        <v/>
      </c>
      <c r="AW56" s="133">
        <f>-AW46</f>
        <v/>
      </c>
      <c r="AX56" s="133">
        <f>-AX46</f>
        <v/>
      </c>
      <c r="AY56" s="133">
        <f>-AY46</f>
        <v/>
      </c>
      <c r="AZ56" s="133">
        <f>-AZ46</f>
        <v/>
      </c>
      <c r="BA56" s="133">
        <f>-BA46</f>
        <v/>
      </c>
      <c r="BB56" s="133">
        <f>-BB46</f>
        <v/>
      </c>
      <c r="BC56" s="133">
        <f>-BC46</f>
        <v/>
      </c>
      <c r="BD56" s="133">
        <f>-BD46</f>
        <v/>
      </c>
      <c r="BE56" s="133">
        <f>-BE46</f>
        <v/>
      </c>
      <c r="BF56" s="133">
        <f>-BF46</f>
        <v/>
      </c>
      <c r="BG56" s="133">
        <f>-BG46</f>
        <v/>
      </c>
      <c r="BH56" s="133">
        <f>-BH46</f>
        <v/>
      </c>
      <c r="BI56" s="133">
        <f>-BI46</f>
        <v/>
      </c>
    </row>
    <row r="57">
      <c r="A57" s="38" t="inlineStr">
        <is>
          <t>Capital Activities</t>
        </is>
      </c>
      <c r="B57" s="133">
        <f>B41</f>
        <v/>
      </c>
      <c r="C57" s="133">
        <f>C41</f>
        <v/>
      </c>
      <c r="D57" s="133">
        <f>D41</f>
        <v/>
      </c>
      <c r="E57" s="133">
        <f>E41</f>
        <v/>
      </c>
      <c r="F57" s="133">
        <f>F41</f>
        <v/>
      </c>
      <c r="G57" s="133">
        <f>G41</f>
        <v/>
      </c>
      <c r="H57" s="133">
        <f>H41</f>
        <v/>
      </c>
      <c r="I57" s="133">
        <f>I41</f>
        <v/>
      </c>
      <c r="J57" s="133">
        <f>J41</f>
        <v/>
      </c>
      <c r="K57" s="133">
        <f>K41</f>
        <v/>
      </c>
      <c r="L57" s="133">
        <f>L41</f>
        <v/>
      </c>
      <c r="M57" s="133">
        <f>M41</f>
        <v/>
      </c>
      <c r="N57" s="133">
        <f>N41</f>
        <v/>
      </c>
      <c r="O57" s="133">
        <f>O41</f>
        <v/>
      </c>
      <c r="P57" s="133">
        <f>P41</f>
        <v/>
      </c>
      <c r="Q57" s="133">
        <f>Q41</f>
        <v/>
      </c>
      <c r="R57" s="133">
        <f>R41</f>
        <v/>
      </c>
      <c r="S57" s="133">
        <f>S41</f>
        <v/>
      </c>
      <c r="T57" s="133">
        <f>T41</f>
        <v/>
      </c>
      <c r="U57" s="133">
        <f>U41</f>
        <v/>
      </c>
      <c r="V57" s="133">
        <f>V41</f>
        <v/>
      </c>
      <c r="W57" s="133">
        <f>W41</f>
        <v/>
      </c>
      <c r="X57" s="133">
        <f>X41</f>
        <v/>
      </c>
      <c r="Y57" s="133">
        <f>Y41</f>
        <v/>
      </c>
      <c r="Z57" s="133">
        <f>Z41</f>
        <v/>
      </c>
      <c r="AA57" s="133">
        <f>AA41</f>
        <v/>
      </c>
      <c r="AB57" s="133">
        <f>AB41</f>
        <v/>
      </c>
      <c r="AC57" s="133">
        <f>AC41</f>
        <v/>
      </c>
      <c r="AD57" s="133">
        <f>AD41</f>
        <v/>
      </c>
      <c r="AE57" s="133">
        <f>AE41</f>
        <v/>
      </c>
      <c r="AF57" s="133">
        <f>AF41</f>
        <v/>
      </c>
      <c r="AG57" s="133">
        <f>AG41</f>
        <v/>
      </c>
      <c r="AH57" s="133">
        <f>AH41</f>
        <v/>
      </c>
      <c r="AI57" s="133">
        <f>AI41</f>
        <v/>
      </c>
      <c r="AJ57" s="133">
        <f>AJ41</f>
        <v/>
      </c>
      <c r="AK57" s="133">
        <f>AK41</f>
        <v/>
      </c>
      <c r="AL57" s="133">
        <f>AL41</f>
        <v/>
      </c>
      <c r="AM57" s="133">
        <f>AM41</f>
        <v/>
      </c>
      <c r="AN57" s="133">
        <f>AN41</f>
        <v/>
      </c>
      <c r="AO57" s="133">
        <f>AO41</f>
        <v/>
      </c>
      <c r="AP57" s="133">
        <f>AP41</f>
        <v/>
      </c>
      <c r="AQ57" s="133">
        <f>AQ41</f>
        <v/>
      </c>
      <c r="AR57" s="133">
        <f>AR41</f>
        <v/>
      </c>
      <c r="AS57" s="133">
        <f>AS41</f>
        <v/>
      </c>
      <c r="AT57" s="133">
        <f>AT41</f>
        <v/>
      </c>
      <c r="AU57" s="133">
        <f>AU41</f>
        <v/>
      </c>
      <c r="AV57" s="133">
        <f>AV41</f>
        <v/>
      </c>
      <c r="AW57" s="133">
        <f>AW41</f>
        <v/>
      </c>
      <c r="AX57" s="133">
        <f>AX41</f>
        <v/>
      </c>
      <c r="AY57" s="133">
        <f>AY41</f>
        <v/>
      </c>
      <c r="AZ57" s="133">
        <f>AZ41</f>
        <v/>
      </c>
      <c r="BA57" s="133">
        <f>BA41</f>
        <v/>
      </c>
      <c r="BB57" s="133">
        <f>BB41</f>
        <v/>
      </c>
      <c r="BC57" s="133">
        <f>BC41</f>
        <v/>
      </c>
      <c r="BD57" s="133">
        <f>BD41</f>
        <v/>
      </c>
      <c r="BE57" s="133">
        <f>BE41</f>
        <v/>
      </c>
      <c r="BF57" s="133">
        <f>BF41</f>
        <v/>
      </c>
      <c r="BG57" s="133">
        <f>BG41</f>
        <v/>
      </c>
      <c r="BH57" s="133">
        <f>BH41</f>
        <v/>
      </c>
      <c r="BI57" s="133">
        <f>BI41</f>
        <v/>
      </c>
    </row>
    <row r="58">
      <c r="A58" s="38" t="inlineStr">
        <is>
          <t>Revenue</t>
        </is>
      </c>
      <c r="B58" s="133">
        <f>B53</f>
        <v/>
      </c>
      <c r="C58" s="133">
        <f>C53</f>
        <v/>
      </c>
      <c r="D58" s="133">
        <f>D53</f>
        <v/>
      </c>
      <c r="E58" s="133">
        <f>E53</f>
        <v/>
      </c>
      <c r="F58" s="133">
        <f>F53</f>
        <v/>
      </c>
      <c r="G58" s="133">
        <f>G53</f>
        <v/>
      </c>
      <c r="H58" s="133">
        <f>H53</f>
        <v/>
      </c>
      <c r="I58" s="133">
        <f>I53</f>
        <v/>
      </c>
      <c r="J58" s="133">
        <f>J53</f>
        <v/>
      </c>
      <c r="K58" s="133">
        <f>K53</f>
        <v/>
      </c>
      <c r="L58" s="133">
        <f>L53</f>
        <v/>
      </c>
      <c r="M58" s="133">
        <f>M53</f>
        <v/>
      </c>
      <c r="N58" s="133">
        <f>N53</f>
        <v/>
      </c>
      <c r="O58" s="133">
        <f>O53</f>
        <v/>
      </c>
      <c r="P58" s="133">
        <f>P53</f>
        <v/>
      </c>
      <c r="Q58" s="133">
        <f>Q53</f>
        <v/>
      </c>
      <c r="R58" s="133">
        <f>R53</f>
        <v/>
      </c>
      <c r="S58" s="133">
        <f>S53</f>
        <v/>
      </c>
      <c r="T58" s="133">
        <f>T53</f>
        <v/>
      </c>
      <c r="U58" s="133">
        <f>U53</f>
        <v/>
      </c>
      <c r="V58" s="133">
        <f>V53</f>
        <v/>
      </c>
      <c r="W58" s="133">
        <f>W53</f>
        <v/>
      </c>
      <c r="X58" s="133">
        <f>X53</f>
        <v/>
      </c>
      <c r="Y58" s="133">
        <f>Y53</f>
        <v/>
      </c>
      <c r="Z58" s="133">
        <f>Z53</f>
        <v/>
      </c>
      <c r="AA58" s="133">
        <f>AA53</f>
        <v/>
      </c>
      <c r="AB58" s="133">
        <f>AB53</f>
        <v/>
      </c>
      <c r="AC58" s="133">
        <f>AC53</f>
        <v/>
      </c>
      <c r="AD58" s="133">
        <f>AD53</f>
        <v/>
      </c>
      <c r="AE58" s="133">
        <f>AE53</f>
        <v/>
      </c>
      <c r="AF58" s="133">
        <f>AF53</f>
        <v/>
      </c>
      <c r="AG58" s="133">
        <f>AG53</f>
        <v/>
      </c>
      <c r="AH58" s="133">
        <f>AH53</f>
        <v/>
      </c>
      <c r="AI58" s="133">
        <f>AI53</f>
        <v/>
      </c>
      <c r="AJ58" s="133">
        <f>AJ53</f>
        <v/>
      </c>
      <c r="AK58" s="133">
        <f>AK53</f>
        <v/>
      </c>
      <c r="AL58" s="133">
        <f>AL53</f>
        <v/>
      </c>
      <c r="AM58" s="133">
        <f>AM53</f>
        <v/>
      </c>
      <c r="AN58" s="133">
        <f>AN53</f>
        <v/>
      </c>
      <c r="AO58" s="133">
        <f>AO53</f>
        <v/>
      </c>
      <c r="AP58" s="133">
        <f>AP53</f>
        <v/>
      </c>
      <c r="AQ58" s="133">
        <f>AQ53</f>
        <v/>
      </c>
      <c r="AR58" s="133">
        <f>AR53</f>
        <v/>
      </c>
      <c r="AS58" s="133">
        <f>AS53</f>
        <v/>
      </c>
      <c r="AT58" s="133">
        <f>AT53</f>
        <v/>
      </c>
      <c r="AU58" s="133">
        <f>AU53</f>
        <v/>
      </c>
      <c r="AV58" s="133">
        <f>AV53</f>
        <v/>
      </c>
      <c r="AW58" s="133">
        <f>AW53</f>
        <v/>
      </c>
      <c r="AX58" s="133">
        <f>AX53</f>
        <v/>
      </c>
      <c r="AY58" s="133">
        <f>AY53</f>
        <v/>
      </c>
      <c r="AZ58" s="133">
        <f>AZ53</f>
        <v/>
      </c>
      <c r="BA58" s="133">
        <f>BA53</f>
        <v/>
      </c>
      <c r="BB58" s="133">
        <f>BB53</f>
        <v/>
      </c>
      <c r="BC58" s="133">
        <f>BC53</f>
        <v/>
      </c>
      <c r="BD58" s="133">
        <f>BD53</f>
        <v/>
      </c>
      <c r="BE58" s="133">
        <f>BE53</f>
        <v/>
      </c>
      <c r="BF58" s="133">
        <f>BF53</f>
        <v/>
      </c>
      <c r="BG58" s="133">
        <f>BG53</f>
        <v/>
      </c>
      <c r="BH58" s="133">
        <f>BH53</f>
        <v/>
      </c>
      <c r="BI58" s="133">
        <f>BI53</f>
        <v/>
      </c>
    </row>
    <row r="59">
      <c r="A59" s="38" t="inlineStr">
        <is>
          <t>Net Cashflow</t>
        </is>
      </c>
      <c r="B59" s="133">
        <f>SUM(B56:B58)</f>
        <v/>
      </c>
      <c r="C59" s="133">
        <f>SUM(C56:C58)</f>
        <v/>
      </c>
      <c r="D59" s="133">
        <f>SUM(D56:D58)</f>
        <v/>
      </c>
      <c r="E59" s="133">
        <f>SUM(E56:E58)</f>
        <v/>
      </c>
      <c r="F59" s="133">
        <f>SUM(F56:F58)</f>
        <v/>
      </c>
      <c r="G59" s="133">
        <f>SUM(G56:G58)</f>
        <v/>
      </c>
      <c r="H59" s="133">
        <f>SUM(H56:H58)</f>
        <v/>
      </c>
      <c r="I59" s="133">
        <f>SUM(I56:I58)</f>
        <v/>
      </c>
      <c r="J59" s="133">
        <f>SUM(J56:J58)</f>
        <v/>
      </c>
      <c r="K59" s="133">
        <f>SUM(K56:K58)</f>
        <v/>
      </c>
      <c r="L59" s="133">
        <f>SUM(L56:L58)</f>
        <v/>
      </c>
      <c r="M59" s="133">
        <f>SUM(M56:M58)</f>
        <v/>
      </c>
      <c r="N59" s="133">
        <f>SUM(N56:N58)</f>
        <v/>
      </c>
      <c r="O59" s="133">
        <f>SUM(O56:O58)</f>
        <v/>
      </c>
      <c r="P59" s="133">
        <f>SUM(P56:P58)</f>
        <v/>
      </c>
      <c r="Q59" s="133">
        <f>SUM(Q56:Q58)</f>
        <v/>
      </c>
      <c r="R59" s="133">
        <f>SUM(R56:R58)</f>
        <v/>
      </c>
      <c r="S59" s="133">
        <f>SUM(S56:S58)</f>
        <v/>
      </c>
      <c r="T59" s="133">
        <f>SUM(T56:T58)</f>
        <v/>
      </c>
      <c r="U59" s="133">
        <f>SUM(U56:U58)</f>
        <v/>
      </c>
      <c r="V59" s="133">
        <f>SUM(V56:V58)</f>
        <v/>
      </c>
      <c r="W59" s="133">
        <f>SUM(W56:W58)</f>
        <v/>
      </c>
      <c r="X59" s="133">
        <f>SUM(X56:X58)</f>
        <v/>
      </c>
      <c r="Y59" s="133">
        <f>SUM(Y56:Y58)</f>
        <v/>
      </c>
      <c r="Z59" s="133">
        <f>SUM(Z56:Z58)</f>
        <v/>
      </c>
      <c r="AA59" s="133">
        <f>SUM(AA56:AA58)</f>
        <v/>
      </c>
      <c r="AB59" s="133">
        <f>SUM(AB56:AB58)</f>
        <v/>
      </c>
      <c r="AC59" s="133">
        <f>SUM(AC56:AC58)</f>
        <v/>
      </c>
      <c r="AD59" s="133">
        <f>SUM(AD56:AD58)</f>
        <v/>
      </c>
      <c r="AE59" s="133">
        <f>SUM(AE56:AE58)</f>
        <v/>
      </c>
      <c r="AF59" s="133">
        <f>SUM(AF56:AF58)</f>
        <v/>
      </c>
      <c r="AG59" s="133">
        <f>SUM(AG56:AG58)</f>
        <v/>
      </c>
      <c r="AH59" s="133">
        <f>SUM(AH56:AH58)</f>
        <v/>
      </c>
      <c r="AI59" s="133">
        <f>SUM(AI56:AI58)</f>
        <v/>
      </c>
      <c r="AJ59" s="133">
        <f>SUM(AJ56:AJ58)</f>
        <v/>
      </c>
      <c r="AK59" s="133">
        <f>SUM(AK56:AK58)</f>
        <v/>
      </c>
      <c r="AL59" s="133">
        <f>SUM(AL56:AL58)</f>
        <v/>
      </c>
      <c r="AM59" s="133">
        <f>SUM(AM56:AM58)</f>
        <v/>
      </c>
      <c r="AN59" s="133">
        <f>SUM(AN56:AN58)</f>
        <v/>
      </c>
      <c r="AO59" s="133">
        <f>SUM(AO56:AO58)</f>
        <v/>
      </c>
      <c r="AP59" s="133">
        <f>SUM(AP56:AP58)</f>
        <v/>
      </c>
      <c r="AQ59" s="133">
        <f>SUM(AQ56:AQ58)</f>
        <v/>
      </c>
      <c r="AR59" s="133">
        <f>SUM(AR56:AR58)</f>
        <v/>
      </c>
      <c r="AS59" s="133">
        <f>SUM(AS56:AS58)</f>
        <v/>
      </c>
      <c r="AT59" s="133">
        <f>SUM(AT56:AT58)</f>
        <v/>
      </c>
      <c r="AU59" s="133">
        <f>SUM(AU56:AU58)</f>
        <v/>
      </c>
      <c r="AV59" s="133">
        <f>SUM(AV56:AV58)</f>
        <v/>
      </c>
      <c r="AW59" s="133">
        <f>SUM(AW56:AW58)</f>
        <v/>
      </c>
      <c r="AX59" s="133">
        <f>SUM(AX56:AX58)</f>
        <v/>
      </c>
      <c r="AY59" s="133">
        <f>SUM(AY56:AY58)</f>
        <v/>
      </c>
      <c r="AZ59" s="133">
        <f>SUM(AZ56:AZ58)</f>
        <v/>
      </c>
      <c r="BA59" s="133">
        <f>SUM(BA56:BA58)</f>
        <v/>
      </c>
      <c r="BB59" s="133">
        <f>SUM(BB56:BB58)</f>
        <v/>
      </c>
      <c r="BC59" s="133">
        <f>SUM(BC56:BC58)</f>
        <v/>
      </c>
      <c r="BD59" s="133">
        <f>SUM(BD56:BD58)</f>
        <v/>
      </c>
      <c r="BE59" s="133">
        <f>SUM(BE56:BE58)</f>
        <v/>
      </c>
      <c r="BF59" s="133">
        <f>SUM(BF56:BF58)</f>
        <v/>
      </c>
      <c r="BG59" s="133">
        <f>SUM(BG56:BG58)</f>
        <v/>
      </c>
      <c r="BH59" s="133">
        <f>SUM(BH56:BH58)</f>
        <v/>
      </c>
      <c r="BI59" s="133">
        <f>SUM(BI56:BI58)</f>
        <v/>
      </c>
    </row>
    <row r="60">
      <c r="A60" s="207" t="inlineStr">
        <is>
          <t>Cash Position</t>
        </is>
      </c>
      <c r="B60" s="205">
        <f>B56+B41</f>
        <v/>
      </c>
      <c r="C60" s="205">
        <f>B60+C56+C41</f>
        <v/>
      </c>
      <c r="D60" s="205">
        <f>C60+D56+D41</f>
        <v/>
      </c>
      <c r="E60" s="205">
        <f>D60+E56+E41</f>
        <v/>
      </c>
      <c r="F60" s="205">
        <f>E60+F59</f>
        <v/>
      </c>
      <c r="G60" s="205">
        <f>F60+G59</f>
        <v/>
      </c>
      <c r="H60" s="205">
        <f>G60+H59</f>
        <v/>
      </c>
      <c r="I60" s="205">
        <f>H60+I59</f>
        <v/>
      </c>
      <c r="J60" s="205">
        <f>I60+J59</f>
        <v/>
      </c>
      <c r="K60" s="205">
        <f>J60+K59</f>
        <v/>
      </c>
      <c r="L60" s="205">
        <f>K60+L59</f>
        <v/>
      </c>
      <c r="M60" s="205">
        <f>L60+M59</f>
        <v/>
      </c>
      <c r="N60" s="205">
        <f>M60+N59</f>
        <v/>
      </c>
      <c r="O60" s="205">
        <f>N60+O59</f>
        <v/>
      </c>
      <c r="P60" s="205">
        <f>O60+P59</f>
        <v/>
      </c>
      <c r="Q60" s="205">
        <f>P60+Q59</f>
        <v/>
      </c>
      <c r="R60" s="205">
        <f>Q60+R59</f>
        <v/>
      </c>
      <c r="S60" s="205">
        <f>R60+S59</f>
        <v/>
      </c>
      <c r="T60" s="205">
        <f>S60+T59</f>
        <v/>
      </c>
      <c r="U60" s="205">
        <f>T60+U59</f>
        <v/>
      </c>
      <c r="V60" s="205">
        <f>U60+V59</f>
        <v/>
      </c>
      <c r="W60" s="205">
        <f>V60+W59</f>
        <v/>
      </c>
      <c r="X60" s="205">
        <f>W60+X59</f>
        <v/>
      </c>
      <c r="Y60" s="205">
        <f>X60+Y59</f>
        <v/>
      </c>
      <c r="Z60" s="205">
        <f>Y60+Z59</f>
        <v/>
      </c>
      <c r="AA60" s="205">
        <f>Z60+AA59</f>
        <v/>
      </c>
      <c r="AB60" s="205">
        <f>AA60+AB59</f>
        <v/>
      </c>
      <c r="AC60" s="205">
        <f>AB60+AC59</f>
        <v/>
      </c>
      <c r="AD60" s="205">
        <f>AC60+AD59</f>
        <v/>
      </c>
      <c r="AE60" s="205">
        <f>AD60+AE59</f>
        <v/>
      </c>
      <c r="AF60" s="205">
        <f>AE60+AF59</f>
        <v/>
      </c>
      <c r="AG60" s="205">
        <f>AF60+AG59</f>
        <v/>
      </c>
      <c r="AH60" s="205">
        <f>AG60+AH59</f>
        <v/>
      </c>
      <c r="AI60" s="205">
        <f>AH60+AI59</f>
        <v/>
      </c>
      <c r="AJ60" s="205">
        <f>AI60+AJ59</f>
        <v/>
      </c>
      <c r="AK60" s="205">
        <f>AJ60+AK59</f>
        <v/>
      </c>
      <c r="AL60" s="205">
        <f>AK60+AL59</f>
        <v/>
      </c>
      <c r="AM60" s="205">
        <f>AL60+AM59</f>
        <v/>
      </c>
      <c r="AN60" s="205">
        <f>AM60+AN59</f>
        <v/>
      </c>
      <c r="AO60" s="205">
        <f>AN60+AO59</f>
        <v/>
      </c>
      <c r="AP60" s="205">
        <f>AO60+AP59</f>
        <v/>
      </c>
      <c r="AQ60" s="205">
        <f>AP60+AQ59</f>
        <v/>
      </c>
      <c r="AR60" s="205">
        <f>AQ60+AR59</f>
        <v/>
      </c>
      <c r="AS60" s="205">
        <f>AR60+AS59</f>
        <v/>
      </c>
      <c r="AT60" s="205">
        <f>AS60+AT59</f>
        <v/>
      </c>
      <c r="AU60" s="205">
        <f>AT60+AU59</f>
        <v/>
      </c>
      <c r="AV60" s="205">
        <f>AU60+AV59</f>
        <v/>
      </c>
      <c r="AW60" s="205">
        <f>AV60+AW59</f>
        <v/>
      </c>
      <c r="AX60" s="205">
        <f>AW60+AX59</f>
        <v/>
      </c>
      <c r="AY60" s="205">
        <f>AX60+AY59</f>
        <v/>
      </c>
      <c r="AZ60" s="205">
        <f>AY60+AZ59</f>
        <v/>
      </c>
      <c r="BA60" s="205">
        <f>AZ60+BA59</f>
        <v/>
      </c>
      <c r="BB60" s="205">
        <f>BA60+BB59</f>
        <v/>
      </c>
      <c r="BC60" s="205">
        <f>BB60+BC59</f>
        <v/>
      </c>
      <c r="BD60" s="205">
        <f>BC60+BD59</f>
        <v/>
      </c>
      <c r="BE60" s="205">
        <f>BD60+BE59</f>
        <v/>
      </c>
      <c r="BF60" s="205">
        <f>BE60+BF59</f>
        <v/>
      </c>
      <c r="BG60" s="205">
        <f>BF60+BG59</f>
        <v/>
      </c>
      <c r="BH60" s="205">
        <f>BG60+BH59</f>
        <v/>
      </c>
      <c r="BI60" s="205">
        <f>BH60+BI59</f>
        <v/>
      </c>
    </row>
    <row r="61">
      <c r="A61" s="208" t="n"/>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94" t="n"/>
      <c r="X61" s="194" t="n"/>
      <c r="Y61" s="194" t="n"/>
      <c r="Z61" s="194" t="n"/>
      <c r="AA61" s="194" t="n"/>
      <c r="AB61" s="194" t="n"/>
      <c r="AC61" s="194" t="n"/>
      <c r="AD61" s="194" t="n"/>
      <c r="AE61" s="194" t="n"/>
      <c r="AF61" s="194" t="n"/>
      <c r="AG61" s="194" t="n"/>
      <c r="AH61" s="194" t="n"/>
      <c r="AI61" s="194" t="n"/>
      <c r="AJ61" s="194" t="n"/>
      <c r="AK61" s="194" t="n"/>
      <c r="AL61" s="194" t="n"/>
      <c r="AM61" s="194" t="n"/>
      <c r="AN61" s="194" t="n"/>
      <c r="AO61" s="194" t="n"/>
      <c r="AP61" s="194" t="n"/>
      <c r="AQ61" s="194" t="n"/>
      <c r="AR61" s="194" t="n"/>
      <c r="AS61" s="194" t="n"/>
      <c r="AT61" s="194" t="n"/>
      <c r="AU61" s="194" t="n"/>
      <c r="AV61" s="194" t="n"/>
      <c r="AW61" s="194" t="n"/>
      <c r="AX61" s="194" t="n"/>
      <c r="AY61" s="194" t="n"/>
      <c r="AZ61" s="194" t="n"/>
      <c r="BA61" s="194" t="n"/>
      <c r="BB61" s="194" t="n"/>
      <c r="BC61" s="194" t="n"/>
      <c r="BD61" s="194" t="n"/>
      <c r="BE61" s="194" t="n"/>
      <c r="BF61" s="194" t="n"/>
      <c r="BG61" s="194" t="n"/>
      <c r="BH61" s="194" t="n"/>
      <c r="BI61" s="194" t="n"/>
    </row>
    <row r="62">
      <c r="A62" s="209" t="inlineStr">
        <is>
          <t>Sensitivity Analysis</t>
        </is>
      </c>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c r="AF62" s="94" t="n"/>
      <c r="AG62" s="94" t="n"/>
      <c r="AH62" s="94" t="n"/>
      <c r="AI62" s="94" t="n"/>
      <c r="AJ62" s="94" t="n"/>
      <c r="AK62" s="94" t="n"/>
      <c r="AL62" s="94" t="n"/>
      <c r="AM62" s="94" t="n"/>
      <c r="AN62" s="94" t="n"/>
      <c r="AO62" s="94" t="n"/>
      <c r="AP62" s="94" t="n"/>
      <c r="AQ62" s="94" t="n"/>
      <c r="AR62" s="94" t="n"/>
      <c r="AS62" s="94" t="n"/>
      <c r="AT62" s="94" t="n"/>
      <c r="AU62" s="94" t="n"/>
      <c r="AV62" s="94" t="n"/>
      <c r="AW62" s="94" t="n"/>
      <c r="AX62" s="94" t="n"/>
      <c r="AY62" s="94" t="n"/>
      <c r="AZ62" s="94" t="n"/>
      <c r="BA62" s="94" t="n"/>
      <c r="BB62" s="94" t="n"/>
      <c r="BC62" s="94" t="n"/>
      <c r="BD62" s="94" t="n"/>
      <c r="BE62" s="94" t="n"/>
      <c r="BF62" s="94" t="n"/>
      <c r="BG62" s="94" t="n"/>
      <c r="BH62" s="94" t="n"/>
      <c r="BI62" s="210" t="n"/>
    </row>
    <row r="63">
      <c r="A63" s="211" t="inlineStr">
        <is>
          <t>Revenue (if XAU = -15%)</t>
        </is>
      </c>
      <c r="B63" s="133">
        <f>B58*Inputs!B51</f>
        <v/>
      </c>
      <c r="C63" s="133">
        <f>C58*Inputs!B51</f>
        <v/>
      </c>
      <c r="D63" s="133">
        <f>D58*Inputs!B51</f>
        <v/>
      </c>
      <c r="E63" s="133">
        <f>E58*Inputs!B51</f>
        <v/>
      </c>
      <c r="F63" s="133">
        <f>F58*Inputs!B51</f>
        <v/>
      </c>
      <c r="G63" s="133">
        <f>G58*Inputs!B51</f>
        <v/>
      </c>
      <c r="H63" s="133">
        <f>H58*Inputs!B51</f>
        <v/>
      </c>
      <c r="I63" s="133">
        <f>I58*Inputs!B51</f>
        <v/>
      </c>
      <c r="J63" s="133">
        <f>J58*Inputs!B51</f>
        <v/>
      </c>
      <c r="K63" s="133">
        <f>K58*Inputs!B51</f>
        <v/>
      </c>
      <c r="L63" s="133">
        <f>L58*Inputs!B51</f>
        <v/>
      </c>
      <c r="M63" s="133">
        <f>M58*Inputs!B51</f>
        <v/>
      </c>
      <c r="N63" s="133">
        <f>N58*Inputs!B51</f>
        <v/>
      </c>
      <c r="O63" s="133">
        <f>O58*Inputs!B51</f>
        <v/>
      </c>
      <c r="P63" s="133">
        <f>P58*Inputs!B51</f>
        <v/>
      </c>
      <c r="Q63" s="133">
        <f>Q58*Inputs!B51</f>
        <v/>
      </c>
      <c r="R63" s="133">
        <f>R58*Inputs!B51</f>
        <v/>
      </c>
      <c r="S63" s="133">
        <f>S58*Inputs!B51</f>
        <v/>
      </c>
      <c r="T63" s="133">
        <f>T58*Inputs!B51</f>
        <v/>
      </c>
      <c r="U63" s="133">
        <f>U58*Inputs!B51</f>
        <v/>
      </c>
      <c r="V63" s="133">
        <f>V58*Inputs!B51</f>
        <v/>
      </c>
      <c r="W63" s="133">
        <f>W58*Inputs!B51</f>
        <v/>
      </c>
      <c r="X63" s="133">
        <f>X58*Inputs!B51</f>
        <v/>
      </c>
      <c r="Y63" s="133">
        <f>Y58*Inputs!B51</f>
        <v/>
      </c>
      <c r="Z63" s="133">
        <f>Z58*Inputs!B51</f>
        <v/>
      </c>
      <c r="AA63" s="133">
        <f>AA58*Inputs!B51</f>
        <v/>
      </c>
      <c r="AB63" s="133">
        <f>AB58*Inputs!B51</f>
        <v/>
      </c>
      <c r="AC63" s="133">
        <f>AC58*Inputs!B51</f>
        <v/>
      </c>
      <c r="AD63" s="133">
        <f>AD58*Inputs!B51</f>
        <v/>
      </c>
      <c r="AE63" s="133">
        <f>AE58*Inputs!B51</f>
        <v/>
      </c>
      <c r="AF63" s="133">
        <f>AF58*Inputs!B51</f>
        <v/>
      </c>
      <c r="AG63" s="133">
        <f>AG58*Inputs!B51</f>
        <v/>
      </c>
      <c r="AH63" s="133">
        <f>AH58*Inputs!B51</f>
        <v/>
      </c>
      <c r="AI63" s="133">
        <f>AI58*Inputs!B51</f>
        <v/>
      </c>
      <c r="AJ63" s="133">
        <f>AJ58*Inputs!B51</f>
        <v/>
      </c>
      <c r="AK63" s="133">
        <f>AK58*Inputs!B51</f>
        <v/>
      </c>
      <c r="AL63" s="133">
        <f>AL58*Inputs!B51</f>
        <v/>
      </c>
      <c r="AM63" s="133">
        <f>AM58*Inputs!B51</f>
        <v/>
      </c>
      <c r="AN63" s="133">
        <f>AN58*Inputs!B51</f>
        <v/>
      </c>
      <c r="AO63" s="133">
        <f>AO58*Inputs!B51</f>
        <v/>
      </c>
      <c r="AP63" s="133">
        <f>AP58*Inputs!B51</f>
        <v/>
      </c>
      <c r="AQ63" s="133">
        <f>AQ58*Inputs!B51</f>
        <v/>
      </c>
      <c r="AR63" s="133">
        <f>AR58*Inputs!B51</f>
        <v/>
      </c>
      <c r="AS63" s="133">
        <f>AS58*Inputs!B51</f>
        <v/>
      </c>
      <c r="AT63" s="133">
        <f>AT58*Inputs!B51</f>
        <v/>
      </c>
      <c r="AU63" s="133">
        <f>AU58*Inputs!B51</f>
        <v/>
      </c>
      <c r="AV63" s="133">
        <f>AV58*Inputs!B51</f>
        <v/>
      </c>
      <c r="AW63" s="133">
        <f>AW58*Inputs!B51</f>
        <v/>
      </c>
      <c r="AX63" s="133">
        <f>AX58*Inputs!B51</f>
        <v/>
      </c>
      <c r="AY63" s="133">
        <f>AY58*Inputs!B51</f>
        <v/>
      </c>
      <c r="AZ63" s="133">
        <f>AZ58*Inputs!B51</f>
        <v/>
      </c>
      <c r="BA63" s="133">
        <f>BA58*Inputs!B51</f>
        <v/>
      </c>
      <c r="BB63" s="133">
        <f>BB58*Inputs!B51</f>
        <v/>
      </c>
      <c r="BC63" s="133">
        <f>BC58*Inputs!B51</f>
        <v/>
      </c>
      <c r="BD63" s="133">
        <f>BD58*Inputs!B51</f>
        <v/>
      </c>
      <c r="BE63" s="133">
        <f>BE58*Inputs!B51</f>
        <v/>
      </c>
      <c r="BF63" s="133">
        <f>BF58*Inputs!B51</f>
        <v/>
      </c>
      <c r="BG63" s="133">
        <f>BG58*Inputs!B51</f>
        <v/>
      </c>
      <c r="BH63" s="133">
        <f>BH58*Inputs!B51</f>
        <v/>
      </c>
      <c r="BI63" s="212">
        <f>BI58*Inputs!B51</f>
        <v/>
      </c>
    </row>
    <row r="64">
      <c r="A64" s="211" t="inlineStr">
        <is>
          <t>Net Cashflow</t>
        </is>
      </c>
      <c r="B64" s="133">
        <f>B56+B63</f>
        <v/>
      </c>
      <c r="C64" s="133">
        <f>C56+C63</f>
        <v/>
      </c>
      <c r="D64" s="133">
        <f>D56+D63</f>
        <v/>
      </c>
      <c r="E64" s="133">
        <f>E56+E63+E57</f>
        <v/>
      </c>
      <c r="F64" s="133">
        <f>F56+F63</f>
        <v/>
      </c>
      <c r="G64" s="133">
        <f>G56+G63+G57</f>
        <v/>
      </c>
      <c r="H64" s="133">
        <f>H56+H63</f>
        <v/>
      </c>
      <c r="I64" s="133">
        <f>I56+I63</f>
        <v/>
      </c>
      <c r="J64" s="133">
        <f>J56+J63</f>
        <v/>
      </c>
      <c r="K64" s="133">
        <f>K56+K63</f>
        <v/>
      </c>
      <c r="L64" s="133">
        <f>L56+L63</f>
        <v/>
      </c>
      <c r="M64" s="133">
        <f>M56+M63</f>
        <v/>
      </c>
      <c r="N64" s="133">
        <f>N56+N63</f>
        <v/>
      </c>
      <c r="O64" s="133">
        <f>O56+O63</f>
        <v/>
      </c>
      <c r="P64" s="133">
        <f>P56+P63</f>
        <v/>
      </c>
      <c r="Q64" s="133">
        <f>Q56+Q63</f>
        <v/>
      </c>
      <c r="R64" s="133">
        <f>R56+R63</f>
        <v/>
      </c>
      <c r="S64" s="133">
        <f>S56+S63</f>
        <v/>
      </c>
      <c r="T64" s="133">
        <f>T56+T63</f>
        <v/>
      </c>
      <c r="U64" s="133">
        <f>U56+U63</f>
        <v/>
      </c>
      <c r="V64" s="133">
        <f>V56+V63</f>
        <v/>
      </c>
      <c r="W64" s="133">
        <f>W56+W63</f>
        <v/>
      </c>
      <c r="X64" s="133">
        <f>X56+X63</f>
        <v/>
      </c>
      <c r="Y64" s="133">
        <f>Y56+Y63</f>
        <v/>
      </c>
      <c r="Z64" s="133">
        <f>Z56+Z63</f>
        <v/>
      </c>
      <c r="AA64" s="133">
        <f>AA56+AA63</f>
        <v/>
      </c>
      <c r="AB64" s="133">
        <f>AB56+AB63</f>
        <v/>
      </c>
      <c r="AC64" s="133">
        <f>AC56+AC63</f>
        <v/>
      </c>
      <c r="AD64" s="133">
        <f>AD56+AD63</f>
        <v/>
      </c>
      <c r="AE64" s="133">
        <f>AE56+AE63</f>
        <v/>
      </c>
      <c r="AF64" s="133">
        <f>AF56+AF63</f>
        <v/>
      </c>
      <c r="AG64" s="133">
        <f>AG56+AG63</f>
        <v/>
      </c>
      <c r="AH64" s="133">
        <f>AH56+AH63</f>
        <v/>
      </c>
      <c r="AI64" s="133">
        <f>AI56+AI63</f>
        <v/>
      </c>
      <c r="AJ64" s="133">
        <f>AJ56+AJ63</f>
        <v/>
      </c>
      <c r="AK64" s="133">
        <f>AK56+AK63</f>
        <v/>
      </c>
      <c r="AL64" s="133">
        <f>AL56+AL63</f>
        <v/>
      </c>
      <c r="AM64" s="133">
        <f>AM56+AM63</f>
        <v/>
      </c>
      <c r="AN64" s="133">
        <f>AN56+AN63</f>
        <v/>
      </c>
      <c r="AO64" s="133">
        <f>AO56+AO63</f>
        <v/>
      </c>
      <c r="AP64" s="133">
        <f>AP56+AP63</f>
        <v/>
      </c>
      <c r="AQ64" s="133">
        <f>AQ56+AQ63</f>
        <v/>
      </c>
      <c r="AR64" s="133">
        <f>AR56+AR63</f>
        <v/>
      </c>
      <c r="AS64" s="133">
        <f>AS56+AS63</f>
        <v/>
      </c>
      <c r="AT64" s="133">
        <f>AT56+AT63</f>
        <v/>
      </c>
      <c r="AU64" s="133">
        <f>AU56+AU63</f>
        <v/>
      </c>
      <c r="AV64" s="133">
        <f>AV56+AV63</f>
        <v/>
      </c>
      <c r="AW64" s="133">
        <f>AW56+AW63</f>
        <v/>
      </c>
      <c r="AX64" s="133">
        <f>AX56+AX63</f>
        <v/>
      </c>
      <c r="AY64" s="133">
        <f>AY56+AY63</f>
        <v/>
      </c>
      <c r="AZ64" s="133">
        <f>AZ56+AZ63</f>
        <v/>
      </c>
      <c r="BA64" s="133">
        <f>BA56+BA63</f>
        <v/>
      </c>
      <c r="BB64" s="133">
        <f>BB56+BB63</f>
        <v/>
      </c>
      <c r="BC64" s="133">
        <f>BC56+BC63</f>
        <v/>
      </c>
      <c r="BD64" s="133">
        <f>BD56+BD63</f>
        <v/>
      </c>
      <c r="BE64" s="133">
        <f>BE56+BE63</f>
        <v/>
      </c>
      <c r="BF64" s="133">
        <f>BF56+BF63</f>
        <v/>
      </c>
      <c r="BG64" s="133">
        <f>BG56+BG63</f>
        <v/>
      </c>
      <c r="BH64" s="133">
        <f>BH56+BH63</f>
        <v/>
      </c>
      <c r="BI64" s="212">
        <f>BI56+BI63</f>
        <v/>
      </c>
    </row>
    <row r="65">
      <c r="A65" s="213" t="inlineStr">
        <is>
          <t>Cash Position ( if XAU = -15%)</t>
        </is>
      </c>
      <c r="B65" s="139">
        <f>B63+B64</f>
        <v/>
      </c>
      <c r="C65" s="139">
        <f>B65+C63+C64</f>
        <v/>
      </c>
      <c r="D65" s="139">
        <f>C65+D63+D64</f>
        <v/>
      </c>
      <c r="E65" s="139">
        <f>E63+E64</f>
        <v/>
      </c>
      <c r="F65" s="139">
        <f>E65+F56+F63</f>
        <v/>
      </c>
      <c r="G65" s="139">
        <f>F65+G56+G57+G63</f>
        <v/>
      </c>
      <c r="H65" s="139">
        <f>G65+H56+H63</f>
        <v/>
      </c>
      <c r="I65" s="139">
        <f>H65+I56+I57+I63</f>
        <v/>
      </c>
      <c r="J65" s="139">
        <f>I65+J56+J57+J63</f>
        <v/>
      </c>
      <c r="K65" s="139">
        <f>J65+K56+K57+K63</f>
        <v/>
      </c>
      <c r="L65" s="139">
        <f>K65+L56+L57+L63</f>
        <v/>
      </c>
      <c r="M65" s="139">
        <f>L65+M56+M57+M63</f>
        <v/>
      </c>
      <c r="N65" s="139">
        <f>M65+N56+N57+N63</f>
        <v/>
      </c>
      <c r="O65" s="139">
        <f>N65+O56+O57+O63</f>
        <v/>
      </c>
      <c r="P65" s="139">
        <f>O65+P56+P57+P63</f>
        <v/>
      </c>
      <c r="Q65" s="139">
        <f>P65+Q56+Q57+Q63</f>
        <v/>
      </c>
      <c r="R65" s="139">
        <f>Q65+R56+R57+R63</f>
        <v/>
      </c>
      <c r="S65" s="139">
        <f>R65+S56+S57+S63</f>
        <v/>
      </c>
      <c r="T65" s="139">
        <f>S65+T56+T57+T63</f>
        <v/>
      </c>
      <c r="U65" s="139">
        <f>T65+U56+U57+U63</f>
        <v/>
      </c>
      <c r="V65" s="139">
        <f>U65+V56+V57+V63</f>
        <v/>
      </c>
      <c r="W65" s="139">
        <f>V65+W56+W57+W63</f>
        <v/>
      </c>
      <c r="X65" s="139">
        <f>W65+X56+X57+X63</f>
        <v/>
      </c>
      <c r="Y65" s="139">
        <f>X65+Y56+Y57+Y63</f>
        <v/>
      </c>
      <c r="Z65" s="139">
        <f>Y65+Z56+Z57+Z63</f>
        <v/>
      </c>
      <c r="AA65" s="139">
        <f>Z65+AA56+AA57+AA63</f>
        <v/>
      </c>
      <c r="AB65" s="139">
        <f>AA65+AB56+AB57+AB63</f>
        <v/>
      </c>
      <c r="AC65" s="139">
        <f>AB65+AC56+AC57+AC63</f>
        <v/>
      </c>
      <c r="AD65" s="139">
        <f>AC65+AD56+AD57+AD63</f>
        <v/>
      </c>
      <c r="AE65" s="139">
        <f>AD65+AE56+AE57+AE63</f>
        <v/>
      </c>
      <c r="AF65" s="139">
        <f>AE65+AF56+AF57+AF63</f>
        <v/>
      </c>
      <c r="AG65" s="139">
        <f>AF65+AG56+AG57+AG63</f>
        <v/>
      </c>
      <c r="AH65" s="139">
        <f>AG65+AH56+AH57+AH63</f>
        <v/>
      </c>
      <c r="AI65" s="139">
        <f>AH65+AI56+AI57+AI63</f>
        <v/>
      </c>
      <c r="AJ65" s="139">
        <f>AI65+AJ56+AJ57+AJ63</f>
        <v/>
      </c>
      <c r="AK65" s="139">
        <f>AJ65+AK56+AK57+AK63</f>
        <v/>
      </c>
      <c r="AL65" s="139">
        <f>AK65+AL56+AL57+AL63</f>
        <v/>
      </c>
      <c r="AM65" s="139">
        <f>AL65+AM56+AM57+AM63</f>
        <v/>
      </c>
      <c r="AN65" s="139">
        <f>AM65+AN56+AN57+AN63</f>
        <v/>
      </c>
      <c r="AO65" s="139">
        <f>AN65+AO56+AO57+AO63</f>
        <v/>
      </c>
      <c r="AP65" s="139">
        <f>AO65+AP56+AP57+AP63</f>
        <v/>
      </c>
      <c r="AQ65" s="139">
        <f>AP65+AQ56+AQ57+AQ63</f>
        <v/>
      </c>
      <c r="AR65" s="139">
        <f>AQ65+AR56+AR57+AR63</f>
        <v/>
      </c>
      <c r="AS65" s="139">
        <f>AR65+AS56+AS57+AS63</f>
        <v/>
      </c>
      <c r="AT65" s="139">
        <f>AS65+AT56+AT57+AT63</f>
        <v/>
      </c>
      <c r="AU65" s="139">
        <f>AT65+AU56+AU57+AU63</f>
        <v/>
      </c>
      <c r="AV65" s="139">
        <f>AU65+AV56+AV57+AV63</f>
        <v/>
      </c>
      <c r="AW65" s="139">
        <f>AV65+AW56+AW57+AW63</f>
        <v/>
      </c>
      <c r="AX65" s="139">
        <f>AW65+AX56+AX57+AX63</f>
        <v/>
      </c>
      <c r="AY65" s="139">
        <f>AX65+AY56+AY57+AY63</f>
        <v/>
      </c>
      <c r="AZ65" s="139">
        <f>AY65+AZ56+AZ57+AZ63</f>
        <v/>
      </c>
      <c r="BA65" s="139">
        <f>AZ65+BA56+BA57+BA63</f>
        <v/>
      </c>
      <c r="BB65" s="139">
        <f>BA65+BB56+BB57+BB63</f>
        <v/>
      </c>
      <c r="BC65" s="139">
        <f>BB65+BC56+BC57+BC63</f>
        <v/>
      </c>
      <c r="BD65" s="139">
        <f>BC65+BD56+BD57+BD63</f>
        <v/>
      </c>
      <c r="BE65" s="139">
        <f>BD65+BE56+BE57+BE63</f>
        <v/>
      </c>
      <c r="BF65" s="139">
        <f>BE65+BF56+BF57+BF63</f>
        <v/>
      </c>
      <c r="BG65" s="139">
        <f>BF65+BG56+BG57+BG63</f>
        <v/>
      </c>
      <c r="BH65" s="139">
        <f>BG65+BH56+BH57+BH63</f>
        <v/>
      </c>
      <c r="BI65" s="139">
        <f>BH65+BI56+BI57+BI63</f>
        <v/>
      </c>
    </row>
    <row r="66">
      <c r="A66" s="207" t="n"/>
    </row>
    <row r="67">
      <c r="A67" s="36" t="inlineStr">
        <is>
          <t>Annual Summaries</t>
        </is>
      </c>
      <c r="B67" s="151" t="n">
        <v>2025</v>
      </c>
      <c r="C67" s="151" t="n">
        <v>2026</v>
      </c>
      <c r="D67" s="151" t="n">
        <v>2027</v>
      </c>
      <c r="E67" s="151" t="n">
        <v>2028</v>
      </c>
      <c r="F67" s="152" t="n">
        <v>2029</v>
      </c>
    </row>
    <row r="68">
      <c r="A68" s="38" t="inlineStr">
        <is>
          <t>Revenue</t>
        </is>
      </c>
      <c r="B68" s="133">
        <f>sum(B53:M53)</f>
        <v/>
      </c>
      <c r="C68" s="133">
        <f>sum(N53:Y53)</f>
        <v/>
      </c>
      <c r="D68" s="133">
        <f>sum(Z53:AK53)</f>
        <v/>
      </c>
      <c r="E68" s="133">
        <f>sum(AL53:AW53)</f>
        <v/>
      </c>
      <c r="F68" s="135">
        <f>sum(AV53:BI53)</f>
        <v/>
      </c>
    </row>
    <row r="69">
      <c r="A69" s="38" t="inlineStr">
        <is>
          <t>Capital Activities</t>
        </is>
      </c>
      <c r="B69" s="133">
        <f>sum(B41:M41)</f>
        <v/>
      </c>
      <c r="C69" s="133">
        <f>sum(N41:Y41)</f>
        <v/>
      </c>
      <c r="D69" s="133">
        <f>sum(Z41:AK41)</f>
        <v/>
      </c>
      <c r="E69" s="133">
        <f>sum(AL41:AW41)</f>
        <v/>
      </c>
      <c r="F69" s="135">
        <f>sum(AV41:BI41)</f>
        <v/>
      </c>
    </row>
    <row r="70">
      <c r="A70" s="38" t="inlineStr">
        <is>
          <t>Personnel Stipends</t>
        </is>
      </c>
      <c r="B70" s="133">
        <f>-sum(B13:M13)</f>
        <v/>
      </c>
      <c r="C70" s="133">
        <f>-sum(N13:Y13)</f>
        <v/>
      </c>
      <c r="D70" s="133">
        <f>-sum(Z13:AK13)</f>
        <v/>
      </c>
      <c r="E70" s="133">
        <f>-sum(AL13:AW13)</f>
        <v/>
      </c>
      <c r="F70" s="135">
        <f>-sum(AV13:BI13)</f>
        <v/>
      </c>
    </row>
    <row r="71">
      <c r="A71" s="38" t="inlineStr">
        <is>
          <t>Expenditures</t>
        </is>
      </c>
      <c r="B71" s="133">
        <f>-sum(B35:M35)</f>
        <v/>
      </c>
      <c r="C71" s="133">
        <f>-sum(N35:Y35)</f>
        <v/>
      </c>
      <c r="D71" s="133">
        <f>-sum(Z35:AK35)</f>
        <v/>
      </c>
      <c r="E71" s="133">
        <f>-sum(AL35:AW35)</f>
        <v/>
      </c>
      <c r="F71" s="135">
        <f>-sum(AV35:BI35)</f>
        <v/>
      </c>
    </row>
    <row r="72">
      <c r="A72" s="45" t="inlineStr">
        <is>
          <t>Cash Position (EOY)</t>
        </is>
      </c>
      <c r="B72" s="139">
        <f>M60</f>
        <v/>
      </c>
      <c r="C72" s="139">
        <f>Y60</f>
        <v/>
      </c>
      <c r="D72" s="139">
        <f>AK60</f>
        <v/>
      </c>
      <c r="E72" s="139">
        <f>AW60</f>
        <v/>
      </c>
      <c r="F72" s="177">
        <f>BI60</f>
        <v/>
      </c>
    </row>
    <row r="75">
      <c r="A75" s="191" t="n"/>
      <c r="B75" s="191" t="n"/>
      <c r="C75" s="191" t="n"/>
    </row>
  </sheetData>
  <conditionalFormatting sqref="B55:BI56">
    <cfRule type="cellIs" priority="1" operator="greaterThan" dxfId="0">
      <formula>0</formula>
    </cfRule>
    <cfRule type="cellIs" priority="2" operator="lessThan" dxfId="1">
      <formula>0</formula>
    </cfRule>
  </conditionalFormatting>
  <conditionalFormatting sqref="B57:BI60">
    <cfRule type="cellIs" priority="3" operator="greaterThan" dxfId="0">
      <formula>0</formula>
    </cfRule>
    <cfRule type="cellIs" priority="4" operator="lessThan" dxfId="1">
      <formula>0</formula>
    </cfRule>
  </conditionalFormatting>
  <conditionalFormatting sqref="B63:BI65">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66" min="0" max="16383" man="1"/>
    <brk id="36" min="0" max="16383" man="1"/>
    <brk id="86"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B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RGT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t="n">
        <v>0</v>
      </c>
      <c r="M3" s="133" t="n">
        <v>0</v>
      </c>
      <c r="N3" s="133">
        <f>Personnel!D15</f>
        <v/>
      </c>
      <c r="O3" s="133">
        <f>Personnel!D15</f>
        <v/>
      </c>
      <c r="P3" s="133">
        <f>Personnel!D15</f>
        <v/>
      </c>
      <c r="Q3" s="133">
        <f>Personnel!D15</f>
        <v/>
      </c>
      <c r="R3" s="133">
        <f>Personnel!D15</f>
        <v/>
      </c>
      <c r="S3" s="133">
        <f>Personnel!D15</f>
        <v/>
      </c>
      <c r="T3" s="133">
        <f>Personnel!D15</f>
        <v/>
      </c>
      <c r="U3" s="133">
        <f>Personnel!D15</f>
        <v/>
      </c>
      <c r="V3" s="133">
        <f>Personnel!D15</f>
        <v/>
      </c>
      <c r="W3" s="133">
        <f>Personnel!D15</f>
        <v/>
      </c>
      <c r="X3" s="133">
        <f>Personnel!D15</f>
        <v/>
      </c>
      <c r="Y3" s="133">
        <f>Personnel!D15</f>
        <v/>
      </c>
      <c r="Z3" s="133">
        <f>Personnel!D15</f>
        <v/>
      </c>
      <c r="AA3" s="133">
        <f>Personnel!D15</f>
        <v/>
      </c>
      <c r="AB3" s="133">
        <f>Personnel!D15</f>
        <v/>
      </c>
      <c r="AC3" s="133">
        <f>Personnel!D15</f>
        <v/>
      </c>
      <c r="AD3" s="133">
        <f>Personnel!D15</f>
        <v/>
      </c>
      <c r="AE3" s="133">
        <f>Personnel!D15</f>
        <v/>
      </c>
      <c r="AF3" s="133">
        <f>Personnel!D15</f>
        <v/>
      </c>
      <c r="AG3" s="133">
        <f>Personnel!$E$3</f>
        <v/>
      </c>
      <c r="AH3" s="133">
        <f>Personnel!$E$3</f>
        <v/>
      </c>
      <c r="AI3" s="133">
        <f>Personnel!$E$3</f>
        <v/>
      </c>
      <c r="AJ3" s="133">
        <f>Personnel!$E$3</f>
        <v/>
      </c>
      <c r="AK3" s="133">
        <f>Personnel!$E$3</f>
        <v/>
      </c>
      <c r="AL3" s="133">
        <f>Personnel!$E$15*1.25</f>
        <v/>
      </c>
      <c r="AM3" s="133">
        <f>Personnel!$E$15*1.25</f>
        <v/>
      </c>
      <c r="AN3" s="133">
        <f>Personnel!$E$15*1.25</f>
        <v/>
      </c>
      <c r="AO3" s="133">
        <f>Personnel!$E$15*1.25</f>
        <v/>
      </c>
      <c r="AP3" s="133">
        <f>Personnel!$E$15*1.25</f>
        <v/>
      </c>
      <c r="AQ3" s="133">
        <f>Personnel!$E$15*1.25</f>
        <v/>
      </c>
      <c r="AR3" s="133">
        <f>Personnel!$E$15*1.25</f>
        <v/>
      </c>
      <c r="AS3" s="133">
        <f>Personnel!$E$15*1.25</f>
        <v/>
      </c>
      <c r="AT3" s="133">
        <f>Personnel!$E$15*1.25</f>
        <v/>
      </c>
      <c r="AU3" s="133">
        <f>Personnel!$E$15*1.25</f>
        <v/>
      </c>
      <c r="AV3" s="133">
        <f>Personnel!$E$15*1.25</f>
        <v/>
      </c>
      <c r="AW3" s="133">
        <f>Personnel!$E$15*1.25</f>
        <v/>
      </c>
      <c r="AX3" s="133">
        <f>Personnel!$E$15*1.5</f>
        <v/>
      </c>
      <c r="AY3" s="133">
        <f>Personnel!$E$15*1.5</f>
        <v/>
      </c>
      <c r="AZ3" s="133">
        <f>Personnel!$E$15*1.5</f>
        <v/>
      </c>
      <c r="BA3" s="133">
        <f>Personnel!$E$15*1.5</f>
        <v/>
      </c>
      <c r="BB3" s="133">
        <f>Personnel!$E$15*1.5</f>
        <v/>
      </c>
      <c r="BC3" s="133">
        <f>Personnel!$E$15*1.5</f>
        <v/>
      </c>
      <c r="BD3" s="133">
        <f>Personnel!$E$15*1.5</f>
        <v/>
      </c>
      <c r="BE3" s="133">
        <f>Personnel!$E$15*1.5</f>
        <v/>
      </c>
      <c r="BF3" s="133">
        <f>Personnel!$E$15*1.5</f>
        <v/>
      </c>
      <c r="BG3" s="133">
        <f>Personnel!$E$15*1.5</f>
        <v/>
      </c>
      <c r="BH3" s="133">
        <f>Personnel!$E$15*1.5</f>
        <v/>
      </c>
      <c r="BI3" s="133">
        <f>Personnel!$E$15*1.5</f>
        <v/>
      </c>
    </row>
    <row r="4">
      <c r="A4" s="38" t="inlineStr">
        <is>
          <t>Director of Crypto Operations</t>
        </is>
      </c>
      <c r="B4" s="133" t="n">
        <v>0</v>
      </c>
      <c r="C4" s="133" t="n">
        <v>0</v>
      </c>
      <c r="D4" s="133" t="n">
        <v>0</v>
      </c>
      <c r="E4" s="133" t="n">
        <v>0</v>
      </c>
      <c r="F4" s="133" t="n">
        <v>0</v>
      </c>
      <c r="G4" s="133" t="n">
        <v>0</v>
      </c>
      <c r="H4" s="133" t="n">
        <v>0</v>
      </c>
      <c r="I4" s="133" t="n">
        <v>0</v>
      </c>
      <c r="J4" s="133" t="n">
        <v>0</v>
      </c>
      <c r="K4" s="133" t="n">
        <v>0</v>
      </c>
      <c r="L4" s="133">
        <f>Personnel!D16</f>
        <v/>
      </c>
      <c r="M4" s="133">
        <f>Personnel!D16</f>
        <v/>
      </c>
      <c r="N4" s="133">
        <f>Personnel!D16</f>
        <v/>
      </c>
      <c r="O4" s="133">
        <f>Personnel!D16</f>
        <v/>
      </c>
      <c r="P4" s="133">
        <f>Personnel!D16</f>
        <v/>
      </c>
      <c r="Q4" s="133">
        <f>Personnel!D16</f>
        <v/>
      </c>
      <c r="R4" s="133">
        <f>Personnel!D16</f>
        <v/>
      </c>
      <c r="S4" s="133">
        <f>Personnel!D16</f>
        <v/>
      </c>
      <c r="T4" s="133">
        <f>Personnel!D16</f>
        <v/>
      </c>
      <c r="U4" s="133">
        <f>Personnel!D16</f>
        <v/>
      </c>
      <c r="V4" s="133">
        <f>Personnel!D16</f>
        <v/>
      </c>
      <c r="W4" s="133">
        <f>Personnel!D16</f>
        <v/>
      </c>
      <c r="X4" s="133">
        <f>Personnel!D16</f>
        <v/>
      </c>
      <c r="Y4" s="133">
        <f>Personnel!D16</f>
        <v/>
      </c>
      <c r="Z4" s="133">
        <f>Personnel!D16</f>
        <v/>
      </c>
      <c r="AA4" s="133">
        <f>Personnel!D16</f>
        <v/>
      </c>
      <c r="AB4" s="133">
        <f>Personnel!D16</f>
        <v/>
      </c>
      <c r="AC4" s="133">
        <f>Personnel!D16</f>
        <v/>
      </c>
      <c r="AD4" s="133">
        <f>Personnel!D16</f>
        <v/>
      </c>
      <c r="AE4" s="133">
        <f>Personnel!D16</f>
        <v/>
      </c>
      <c r="AF4" s="133">
        <f>Personnel!D16</f>
        <v/>
      </c>
      <c r="AG4" s="133">
        <f>Personnel!$E$16</f>
        <v/>
      </c>
      <c r="AH4" s="133">
        <f>Personnel!$E$16</f>
        <v/>
      </c>
      <c r="AI4" s="133">
        <f>Personnel!$E$16</f>
        <v/>
      </c>
      <c r="AJ4" s="133">
        <f>Personnel!$E$16</f>
        <v/>
      </c>
      <c r="AK4" s="133">
        <f>Personnel!$E$16</f>
        <v/>
      </c>
      <c r="AL4" s="133">
        <f>Personnel!$E$16*1.25</f>
        <v/>
      </c>
      <c r="AM4" s="133">
        <f>Personnel!$E$16*1.25</f>
        <v/>
      </c>
      <c r="AN4" s="133">
        <f>Personnel!$E$16*1.25</f>
        <v/>
      </c>
      <c r="AO4" s="133">
        <f>Personnel!$E$16*1.25</f>
        <v/>
      </c>
      <c r="AP4" s="133">
        <f>Personnel!$E$16*1.25</f>
        <v/>
      </c>
      <c r="AQ4" s="133">
        <f>Personnel!$E$16*1.25</f>
        <v/>
      </c>
      <c r="AR4" s="133">
        <f>Personnel!$E$16*1.25</f>
        <v/>
      </c>
      <c r="AS4" s="133">
        <f>Personnel!$E$16*1.25</f>
        <v/>
      </c>
      <c r="AT4" s="133">
        <f>Personnel!$E$16*1.25</f>
        <v/>
      </c>
      <c r="AU4" s="133">
        <f>Personnel!$E$16*1.25</f>
        <v/>
      </c>
      <c r="AV4" s="133">
        <f>Personnel!$E$16*1.25</f>
        <v/>
      </c>
      <c r="AW4" s="133">
        <f>Personnel!$E$16*1.25</f>
        <v/>
      </c>
      <c r="AX4" s="133">
        <f>Personnel!$E$16*1.5</f>
        <v/>
      </c>
      <c r="AY4" s="133">
        <f>Personnel!$E$16*1.5</f>
        <v/>
      </c>
      <c r="AZ4" s="133">
        <f>Personnel!$E$16*1.5</f>
        <v/>
      </c>
      <c r="BA4" s="133">
        <f>Personnel!$E$16*1.5</f>
        <v/>
      </c>
      <c r="BB4" s="133">
        <f>Personnel!$E$16*1.5</f>
        <v/>
      </c>
      <c r="BC4" s="133">
        <f>Personnel!$E$16*1.5</f>
        <v/>
      </c>
      <c r="BD4" s="133">
        <f>Personnel!$E$16*1.5</f>
        <v/>
      </c>
      <c r="BE4" s="133">
        <f>Personnel!$E$16*1.5</f>
        <v/>
      </c>
      <c r="BF4" s="133">
        <f>Personnel!$E$16*1.5</f>
        <v/>
      </c>
      <c r="BG4" s="133">
        <f>Personnel!$E$16*1.5</f>
        <v/>
      </c>
      <c r="BH4" s="133">
        <f>Personnel!$E$16*1.5</f>
        <v/>
      </c>
      <c r="BI4" s="133">
        <f>Personnel!$E$16*1.5</f>
        <v/>
      </c>
    </row>
    <row r="5">
      <c r="A5" s="38" t="inlineStr">
        <is>
          <t>Supervising Legal Counsel - Crypto</t>
        </is>
      </c>
      <c r="B5" s="133" t="n">
        <v>0</v>
      </c>
      <c r="C5" s="133" t="n">
        <v>0</v>
      </c>
      <c r="D5" s="133" t="n">
        <v>0</v>
      </c>
      <c r="E5" s="133" t="n">
        <v>0</v>
      </c>
      <c r="F5" s="133" t="n">
        <v>0</v>
      </c>
      <c r="G5" s="133" t="n">
        <v>0</v>
      </c>
      <c r="H5" s="133" t="n">
        <v>0</v>
      </c>
      <c r="I5" s="133" t="n">
        <v>0</v>
      </c>
      <c r="J5" s="133" t="n">
        <v>0</v>
      </c>
      <c r="K5" s="133" t="n">
        <v>0</v>
      </c>
      <c r="L5" s="133">
        <f>Personnel!D17</f>
        <v/>
      </c>
      <c r="M5" s="133">
        <f>Personnel!D17</f>
        <v/>
      </c>
      <c r="N5" s="133">
        <f>Personnel!D17</f>
        <v/>
      </c>
      <c r="O5" s="133">
        <f>Personnel!D17</f>
        <v/>
      </c>
      <c r="P5" s="133">
        <f>Personnel!D17</f>
        <v/>
      </c>
      <c r="Q5" s="133">
        <f>Personnel!D17</f>
        <v/>
      </c>
      <c r="R5" s="133">
        <f>Personnel!D17</f>
        <v/>
      </c>
      <c r="S5" s="133">
        <f>Personnel!D17</f>
        <v/>
      </c>
      <c r="T5" s="133">
        <f>Personnel!D17</f>
        <v/>
      </c>
      <c r="U5" s="133">
        <f>Personnel!D17</f>
        <v/>
      </c>
      <c r="V5" s="133">
        <f>Personnel!D17</f>
        <v/>
      </c>
      <c r="W5" s="133">
        <f>Personnel!D17</f>
        <v/>
      </c>
      <c r="X5" s="133">
        <f>Personnel!D17</f>
        <v/>
      </c>
      <c r="Y5" s="133">
        <f>Personnel!D17</f>
        <v/>
      </c>
      <c r="Z5" s="133">
        <f>Personnel!D17</f>
        <v/>
      </c>
      <c r="AA5" s="133">
        <f>Personnel!D17</f>
        <v/>
      </c>
      <c r="AB5" s="133">
        <f>Personnel!D17</f>
        <v/>
      </c>
      <c r="AC5" s="133">
        <f>Personnel!D17</f>
        <v/>
      </c>
      <c r="AD5" s="133">
        <f>Personnel!D17</f>
        <v/>
      </c>
      <c r="AE5" s="133">
        <f>Personnel!D17</f>
        <v/>
      </c>
      <c r="AF5" s="133">
        <f>Personnel!D17</f>
        <v/>
      </c>
      <c r="AG5" s="133">
        <f>Personnel!$E$17</f>
        <v/>
      </c>
      <c r="AH5" s="133">
        <f>Personnel!$E$17</f>
        <v/>
      </c>
      <c r="AI5" s="133">
        <f>Personnel!$E$17</f>
        <v/>
      </c>
      <c r="AJ5" s="133">
        <f>Personnel!$E$17</f>
        <v/>
      </c>
      <c r="AK5" s="133">
        <f>Personnel!$E$17</f>
        <v/>
      </c>
      <c r="AL5" s="133">
        <f>Personnel!$E$17*1.25</f>
        <v/>
      </c>
      <c r="AM5" s="133">
        <f>Personnel!$E$17*1.25</f>
        <v/>
      </c>
      <c r="AN5" s="133">
        <f>Personnel!$E$17*1.25</f>
        <v/>
      </c>
      <c r="AO5" s="133">
        <f>Personnel!$E$17*1.25</f>
        <v/>
      </c>
      <c r="AP5" s="133">
        <f>Personnel!$E$17*1.25</f>
        <v/>
      </c>
      <c r="AQ5" s="133">
        <f>Personnel!$E$17*1.25</f>
        <v/>
      </c>
      <c r="AR5" s="133">
        <f>Personnel!$E$17*1.25</f>
        <v/>
      </c>
      <c r="AS5" s="133">
        <f>Personnel!$E$17*1.25</f>
        <v/>
      </c>
      <c r="AT5" s="133">
        <f>Personnel!$E$17*1.25</f>
        <v/>
      </c>
      <c r="AU5" s="133">
        <f>Personnel!$E$17*1.25</f>
        <v/>
      </c>
      <c r="AV5" s="133">
        <f>Personnel!$E$17*1.25</f>
        <v/>
      </c>
      <c r="AW5" s="133">
        <f>Personnel!$E$17*1.25</f>
        <v/>
      </c>
      <c r="AX5" s="133">
        <f>Personnel!$E$17*1.5</f>
        <v/>
      </c>
      <c r="AY5" s="133">
        <f>Personnel!$E$17*1.5</f>
        <v/>
      </c>
      <c r="AZ5" s="133">
        <f>Personnel!$E$17*1.5</f>
        <v/>
      </c>
      <c r="BA5" s="133">
        <f>Personnel!$E$17*1.5</f>
        <v/>
      </c>
      <c r="BB5" s="133">
        <f>Personnel!$E$17*1.5</f>
        <v/>
      </c>
      <c r="BC5" s="133">
        <f>Personnel!$E$17*1.5</f>
        <v/>
      </c>
      <c r="BD5" s="133">
        <f>Personnel!$E$17*1.5</f>
        <v/>
      </c>
      <c r="BE5" s="133">
        <f>Personnel!$E$17*1.5</f>
        <v/>
      </c>
      <c r="BF5" s="133">
        <f>Personnel!$E$17*1.5</f>
        <v/>
      </c>
      <c r="BG5" s="133">
        <f>Personnel!$E$17*1.5</f>
        <v/>
      </c>
      <c r="BH5" s="133">
        <f>Personnel!$E$17*1.5</f>
        <v/>
      </c>
      <c r="BI5" s="133">
        <f>Personnel!$E$17*1.5</f>
        <v/>
      </c>
    </row>
    <row r="6">
      <c r="A6" s="38" t="inlineStr">
        <is>
          <t>Marketing / Community Manager</t>
        </is>
      </c>
      <c r="B6" s="133" t="n">
        <v>0</v>
      </c>
      <c r="C6" s="133" t="n">
        <v>0</v>
      </c>
      <c r="D6" s="133" t="n">
        <v>0</v>
      </c>
      <c r="E6" s="133" t="n">
        <v>0</v>
      </c>
      <c r="F6" s="133" t="n">
        <v>0</v>
      </c>
      <c r="G6" s="133" t="n">
        <v>0</v>
      </c>
      <c r="H6" s="133" t="n">
        <v>0</v>
      </c>
      <c r="I6" s="133" t="n">
        <v>0</v>
      </c>
      <c r="J6" s="133" t="n">
        <v>0</v>
      </c>
      <c r="K6" s="133" t="n">
        <v>0</v>
      </c>
      <c r="L6" s="133">
        <f>Personnel!D18</f>
        <v/>
      </c>
      <c r="M6" s="133">
        <f>Personnel!D18</f>
        <v/>
      </c>
      <c r="N6" s="133">
        <f>Personnel!D18</f>
        <v/>
      </c>
      <c r="O6" s="133">
        <f>Personnel!D18</f>
        <v/>
      </c>
      <c r="P6" s="133">
        <f>Personnel!D18</f>
        <v/>
      </c>
      <c r="Q6" s="133">
        <f>Personnel!D18</f>
        <v/>
      </c>
      <c r="R6" s="133">
        <f>Personnel!D18</f>
        <v/>
      </c>
      <c r="S6" s="133">
        <f>Personnel!D18</f>
        <v/>
      </c>
      <c r="T6" s="133">
        <f>Personnel!D18</f>
        <v/>
      </c>
      <c r="U6" s="133">
        <f>Personnel!D18</f>
        <v/>
      </c>
      <c r="V6" s="133">
        <f>Personnel!D18</f>
        <v/>
      </c>
      <c r="W6" s="133">
        <f>Personnel!D18</f>
        <v/>
      </c>
      <c r="X6" s="133">
        <f>Personnel!D18</f>
        <v/>
      </c>
      <c r="Y6" s="133">
        <f>Personnel!D18</f>
        <v/>
      </c>
      <c r="Z6" s="133">
        <f>Personnel!D18</f>
        <v/>
      </c>
      <c r="AA6" s="133">
        <f>Personnel!D18</f>
        <v/>
      </c>
      <c r="AB6" s="133">
        <f>Personnel!D18</f>
        <v/>
      </c>
      <c r="AC6" s="133">
        <f>Personnel!D18</f>
        <v/>
      </c>
      <c r="AD6" s="133">
        <f>Personnel!D18</f>
        <v/>
      </c>
      <c r="AE6" s="133">
        <f>Personnel!D18</f>
        <v/>
      </c>
      <c r="AF6" s="133">
        <f>Personnel!D18</f>
        <v/>
      </c>
      <c r="AG6" s="133">
        <f>Personnel!$E$18</f>
        <v/>
      </c>
      <c r="AH6" s="133">
        <f>Personnel!$E$18</f>
        <v/>
      </c>
      <c r="AI6" s="133">
        <f>Personnel!$E$18</f>
        <v/>
      </c>
      <c r="AJ6" s="133">
        <f>Personnel!$E$18</f>
        <v/>
      </c>
      <c r="AK6" s="133">
        <f>Personnel!$E$18</f>
        <v/>
      </c>
      <c r="AL6" s="133">
        <f>Personnel!$E$18*1.25</f>
        <v/>
      </c>
      <c r="AM6" s="133">
        <f>Personnel!$E$18*1.25</f>
        <v/>
      </c>
      <c r="AN6" s="133">
        <f>Personnel!$E$18*1.25</f>
        <v/>
      </c>
      <c r="AO6" s="133">
        <f>Personnel!$E$18*1.25</f>
        <v/>
      </c>
      <c r="AP6" s="133">
        <f>Personnel!$E$18*1.25</f>
        <v/>
      </c>
      <c r="AQ6" s="133">
        <f>Personnel!$E$18*1.25</f>
        <v/>
      </c>
      <c r="AR6" s="133">
        <f>Personnel!$E$18*1.25</f>
        <v/>
      </c>
      <c r="AS6" s="133">
        <f>Personnel!$E$18*1.25</f>
        <v/>
      </c>
      <c r="AT6" s="133">
        <f>Personnel!$E$18*1.25</f>
        <v/>
      </c>
      <c r="AU6" s="133">
        <f>Personnel!$E$18*1.25</f>
        <v/>
      </c>
      <c r="AV6" s="133">
        <f>Personnel!$E$18*1.25</f>
        <v/>
      </c>
      <c r="AW6" s="133">
        <f>Personnel!$E$18*1.25</f>
        <v/>
      </c>
      <c r="AX6" s="133">
        <f>Personnel!$E$18*1.5</f>
        <v/>
      </c>
      <c r="AY6" s="133">
        <f>Personnel!$E$18*1.5</f>
        <v/>
      </c>
      <c r="AZ6" s="133">
        <f>Personnel!$E$18*1.5</f>
        <v/>
      </c>
      <c r="BA6" s="133">
        <f>Personnel!$E$18*1.5</f>
        <v/>
      </c>
      <c r="BB6" s="133">
        <f>Personnel!$E$18*1.5</f>
        <v/>
      </c>
      <c r="BC6" s="133">
        <f>Personnel!$E$18*1.5</f>
        <v/>
      </c>
      <c r="BD6" s="133">
        <f>Personnel!$E$18*1.5</f>
        <v/>
      </c>
      <c r="BE6" s="133">
        <f>Personnel!$E$18*1.5</f>
        <v/>
      </c>
      <c r="BF6" s="133">
        <f>Personnel!$E$18*1.5</f>
        <v/>
      </c>
      <c r="BG6" s="133">
        <f>Personnel!$E$18*1.5</f>
        <v/>
      </c>
      <c r="BH6" s="133">
        <f>Personnel!$E$18*1.5</f>
        <v/>
      </c>
      <c r="BI6" s="133">
        <f>Personnel!$E$18*1.5</f>
        <v/>
      </c>
    </row>
    <row r="7">
      <c r="A7" s="38" t="inlineStr">
        <is>
          <t>Business Development</t>
        </is>
      </c>
      <c r="B7" s="133" t="n">
        <v>0</v>
      </c>
      <c r="C7" s="133" t="n">
        <v>0</v>
      </c>
      <c r="D7" s="133" t="n">
        <v>0</v>
      </c>
      <c r="E7" s="133" t="n">
        <v>0</v>
      </c>
      <c r="F7" s="133" t="n">
        <v>0</v>
      </c>
      <c r="G7" s="133" t="n">
        <v>0</v>
      </c>
      <c r="H7" s="133" t="n">
        <v>0</v>
      </c>
      <c r="I7" s="133" t="n">
        <v>0</v>
      </c>
      <c r="J7" s="133" t="n">
        <v>0</v>
      </c>
      <c r="K7" s="133" t="n">
        <v>0</v>
      </c>
      <c r="L7" s="133">
        <f>Personnel!D19</f>
        <v/>
      </c>
      <c r="M7" s="133">
        <f>Personnel!D19</f>
        <v/>
      </c>
      <c r="N7" s="133">
        <f>Personnel!D19</f>
        <v/>
      </c>
      <c r="O7" s="133">
        <f>Personnel!D19</f>
        <v/>
      </c>
      <c r="P7" s="133">
        <f>Personnel!D19</f>
        <v/>
      </c>
      <c r="Q7" s="133">
        <f>Personnel!D19</f>
        <v/>
      </c>
      <c r="R7" s="133">
        <f>Personnel!D19</f>
        <v/>
      </c>
      <c r="S7" s="133">
        <f>Personnel!D19</f>
        <v/>
      </c>
      <c r="T7" s="133">
        <f>Personnel!D19</f>
        <v/>
      </c>
      <c r="U7" s="133">
        <f>Personnel!D19</f>
        <v/>
      </c>
      <c r="V7" s="133">
        <f>Personnel!D19</f>
        <v/>
      </c>
      <c r="W7" s="133">
        <f>Personnel!D19</f>
        <v/>
      </c>
      <c r="X7" s="133">
        <f>Personnel!D19</f>
        <v/>
      </c>
      <c r="Y7" s="133">
        <f>Personnel!D19</f>
        <v/>
      </c>
      <c r="Z7" s="133">
        <f>Personnel!D19</f>
        <v/>
      </c>
      <c r="AA7" s="133">
        <f>Personnel!D19</f>
        <v/>
      </c>
      <c r="AB7" s="133">
        <f>Personnel!D19</f>
        <v/>
      </c>
      <c r="AC7" s="133">
        <f>Personnel!D19</f>
        <v/>
      </c>
      <c r="AD7" s="133">
        <f>Personnel!D19</f>
        <v/>
      </c>
      <c r="AE7" s="133">
        <f>Personnel!D19</f>
        <v/>
      </c>
      <c r="AF7" s="133">
        <f>Personnel!D19</f>
        <v/>
      </c>
      <c r="AG7" s="133">
        <f>Personnel!$E$19</f>
        <v/>
      </c>
      <c r="AH7" s="133">
        <f>Personnel!$E$19</f>
        <v/>
      </c>
      <c r="AI7" s="133">
        <f>Personnel!$E$19</f>
        <v/>
      </c>
      <c r="AJ7" s="133">
        <f>Personnel!$E$19</f>
        <v/>
      </c>
      <c r="AK7" s="133">
        <f>Personnel!$E$19</f>
        <v/>
      </c>
      <c r="AL7" s="133">
        <f>Personnel!$E$19*1.25</f>
        <v/>
      </c>
      <c r="AM7" s="133">
        <f>Personnel!$E$19*1.25</f>
        <v/>
      </c>
      <c r="AN7" s="133">
        <f>Personnel!$E$19*1.25</f>
        <v/>
      </c>
      <c r="AO7" s="133">
        <f>Personnel!$E$19*1.25</f>
        <v/>
      </c>
      <c r="AP7" s="133">
        <f>Personnel!$E$19*1.25</f>
        <v/>
      </c>
      <c r="AQ7" s="133">
        <f>Personnel!$E$19*1.25</f>
        <v/>
      </c>
      <c r="AR7" s="133">
        <f>Personnel!$E$19*1.25</f>
        <v/>
      </c>
      <c r="AS7" s="133">
        <f>Personnel!$E$19*1.25</f>
        <v/>
      </c>
      <c r="AT7" s="133">
        <f>Personnel!$E$19*1.25</f>
        <v/>
      </c>
      <c r="AU7" s="133">
        <f>Personnel!$E$19*1.25</f>
        <v/>
      </c>
      <c r="AV7" s="133">
        <f>Personnel!$E$19*1.25</f>
        <v/>
      </c>
      <c r="AW7" s="133">
        <f>Personnel!$E$19*1.25</f>
        <v/>
      </c>
      <c r="AX7" s="133">
        <f>Personnel!$E$19*1.5</f>
        <v/>
      </c>
      <c r="AY7" s="133">
        <f>Personnel!$E$19*1.5</f>
        <v/>
      </c>
      <c r="AZ7" s="133">
        <f>Personnel!$E$19*1.5</f>
        <v/>
      </c>
      <c r="BA7" s="133">
        <f>Personnel!$E$19*1.5</f>
        <v/>
      </c>
      <c r="BB7" s="133">
        <f>Personnel!$E$19*1.5</f>
        <v/>
      </c>
      <c r="BC7" s="133">
        <f>Personnel!$E$19*1.5</f>
        <v/>
      </c>
      <c r="BD7" s="133">
        <f>Personnel!$E$19*1.5</f>
        <v/>
      </c>
      <c r="BE7" s="133">
        <f>Personnel!$E$19*1.5</f>
        <v/>
      </c>
      <c r="BF7" s="133">
        <f>Personnel!$E$19*1.5</f>
        <v/>
      </c>
      <c r="BG7" s="133">
        <f>Personnel!$E$19*1.5</f>
        <v/>
      </c>
      <c r="BH7" s="133">
        <f>Personnel!$E$19*1.5</f>
        <v/>
      </c>
      <c r="BI7" s="133">
        <f>Personnel!$E$19*1.5</f>
        <v/>
      </c>
    </row>
    <row r="8">
      <c r="A8" s="207" t="inlineStr">
        <is>
          <t>Total Personnel Stipends</t>
        </is>
      </c>
      <c r="B8" s="205">
        <f>SUM(B3:B7)</f>
        <v/>
      </c>
      <c r="C8" s="205">
        <f>SUM(C3:C7)</f>
        <v/>
      </c>
      <c r="D8" s="205">
        <f>SUM(D3:D7)</f>
        <v/>
      </c>
      <c r="E8" s="205">
        <f>SUM(E3:E7)</f>
        <v/>
      </c>
      <c r="F8" s="205">
        <f>SUM(F3:F7)</f>
        <v/>
      </c>
      <c r="G8" s="205">
        <f>SUM(G3:G7)</f>
        <v/>
      </c>
      <c r="H8" s="205">
        <f>SUM(H3:H7)</f>
        <v/>
      </c>
      <c r="I8" s="205">
        <f>SUM(I3:I7)</f>
        <v/>
      </c>
      <c r="J8" s="205">
        <f>SUM(J3:J7)</f>
        <v/>
      </c>
      <c r="K8" s="205">
        <f>SUM(K3:K7)</f>
        <v/>
      </c>
      <c r="L8" s="205">
        <f>SUM(L3:L7)</f>
        <v/>
      </c>
      <c r="M8" s="205">
        <f>SUM(M3:M7)</f>
        <v/>
      </c>
      <c r="N8" s="205">
        <f>SUM(N3:N7)</f>
        <v/>
      </c>
      <c r="O8" s="205">
        <f>SUM(O3:O7)</f>
        <v/>
      </c>
      <c r="P8" s="205">
        <f>SUM(P3:P7)</f>
        <v/>
      </c>
      <c r="Q8" s="205">
        <f>SUM(Q3:Q7)</f>
        <v/>
      </c>
      <c r="R8" s="205">
        <f>SUM(R3:R7)</f>
        <v/>
      </c>
      <c r="S8" s="205">
        <f>SUM(S3:S7)</f>
        <v/>
      </c>
      <c r="T8" s="205">
        <f>SUM(T3:T7)</f>
        <v/>
      </c>
      <c r="U8" s="205">
        <f>SUM(U3:U7)</f>
        <v/>
      </c>
      <c r="V8" s="205">
        <f>SUM(V3:V7)</f>
        <v/>
      </c>
      <c r="W8" s="205">
        <f>SUM(W3:W7)</f>
        <v/>
      </c>
      <c r="X8" s="205">
        <f>SUM(X3:X7)</f>
        <v/>
      </c>
      <c r="Y8" s="205">
        <f>SUM(Y3:Y7)</f>
        <v/>
      </c>
      <c r="Z8" s="205">
        <f>SUM(Z3:Z7)</f>
        <v/>
      </c>
      <c r="AA8" s="205">
        <f>SUM(AA3:AA7)</f>
        <v/>
      </c>
      <c r="AB8" s="205">
        <f>SUM(AB3:AB7)</f>
        <v/>
      </c>
      <c r="AC8" s="205">
        <f>SUM(AC3:AC7)</f>
        <v/>
      </c>
      <c r="AD8" s="205">
        <f>SUM(AD3:AD7)</f>
        <v/>
      </c>
      <c r="AE8" s="205">
        <f>SUM(AE3:AE7)</f>
        <v/>
      </c>
      <c r="AF8" s="205">
        <f>SUM(AF3:AF7)</f>
        <v/>
      </c>
      <c r="AG8" s="205">
        <f>SUM(AG3:AG7)</f>
        <v/>
      </c>
      <c r="AH8" s="205">
        <f>SUM(AH3:AH7)</f>
        <v/>
      </c>
      <c r="AI8" s="205">
        <f>SUM(AI3:AI7)</f>
        <v/>
      </c>
      <c r="AJ8" s="205">
        <f>SUM(AJ3:AJ7)</f>
        <v/>
      </c>
      <c r="AK8" s="205">
        <f>SUM(AK3:AK7)</f>
        <v/>
      </c>
      <c r="AL8" s="205">
        <f>SUM(AL3:AL7)</f>
        <v/>
      </c>
      <c r="AM8" s="205">
        <f>SUM(AM3:AM7)</f>
        <v/>
      </c>
      <c r="AN8" s="205">
        <f>SUM(AN3:AN7)</f>
        <v/>
      </c>
      <c r="AO8" s="205">
        <f>SUM(AO3:AO7)</f>
        <v/>
      </c>
      <c r="AP8" s="205">
        <f>SUM(AP3:AP7)</f>
        <v/>
      </c>
      <c r="AQ8" s="205">
        <f>SUM(AQ3:AQ7)</f>
        <v/>
      </c>
      <c r="AR8" s="205">
        <f>SUM(AR3:AR7)</f>
        <v/>
      </c>
      <c r="AS8" s="205">
        <f>SUM(AS3:AS7)</f>
        <v/>
      </c>
      <c r="AT8" s="205">
        <f>SUM(AT3:AT7)</f>
        <v/>
      </c>
      <c r="AU8" s="205">
        <f>SUM(AU3:AU7)</f>
        <v/>
      </c>
      <c r="AV8" s="205">
        <f>SUM(AV3:AV7)</f>
        <v/>
      </c>
      <c r="AW8" s="205">
        <f>SUM(AW3:AW7)</f>
        <v/>
      </c>
      <c r="AX8" s="205">
        <f>SUM(AX3:AX7)</f>
        <v/>
      </c>
      <c r="AY8" s="205">
        <f>SUM(AY3:AY7)</f>
        <v/>
      </c>
      <c r="AZ8" s="205">
        <f>SUM(AZ3:AZ7)</f>
        <v/>
      </c>
      <c r="BA8" s="205">
        <f>SUM(BA3:BA7)</f>
        <v/>
      </c>
      <c r="BB8" s="205">
        <f>SUM(BB3:BB7)</f>
        <v/>
      </c>
      <c r="BC8" s="205">
        <f>SUM(BC3:BC7)</f>
        <v/>
      </c>
      <c r="BD8" s="205">
        <f>SUM(BD3:BD7)</f>
        <v/>
      </c>
      <c r="BE8" s="205">
        <f>SUM(BE3:BE7)</f>
        <v/>
      </c>
      <c r="BF8" s="205">
        <f>SUM(BF3:BF7)</f>
        <v/>
      </c>
      <c r="BG8" s="205">
        <f>SUM(BG3:BG7)</f>
        <v/>
      </c>
      <c r="BH8" s="205">
        <f>SUM(BH3:BH7)</f>
        <v/>
      </c>
      <c r="BI8" s="205">
        <f>SUM(BI3:BI7)</f>
        <v/>
      </c>
    </row>
    <row r="9">
      <c r="A9" s="128" t="n"/>
      <c r="B9" s="128" t="n"/>
      <c r="C9" s="128" t="n"/>
      <c r="D9" s="128" t="n"/>
      <c r="E9" s="128" t="n"/>
      <c r="F9" s="128" t="n"/>
      <c r="G9" s="128" t="n"/>
      <c r="H9" s="128" t="n"/>
      <c r="I9" s="128" t="n"/>
      <c r="J9" s="128" t="n"/>
      <c r="K9" s="128" t="n"/>
      <c r="L9" s="128" t="n"/>
      <c r="M9" s="128" t="n"/>
      <c r="N9" s="128" t="n"/>
      <c r="O9" s="128" t="n"/>
      <c r="P9" s="128" t="n"/>
      <c r="Q9" s="128" t="n"/>
      <c r="R9" s="128" t="n"/>
      <c r="S9" s="128" t="n"/>
      <c r="T9" s="128" t="n"/>
      <c r="U9" s="128" t="n"/>
      <c r="V9" s="128" t="n"/>
      <c r="W9" s="128" t="n"/>
      <c r="X9" s="128" t="n"/>
      <c r="Y9" s="128" t="n"/>
      <c r="Z9" s="194" t="n"/>
      <c r="AA9" s="194" t="n"/>
      <c r="AB9" s="194" t="n"/>
      <c r="AC9" s="194" t="n"/>
      <c r="AD9" s="194" t="n"/>
      <c r="AE9" s="194" t="n"/>
      <c r="AF9" s="194" t="n"/>
      <c r="AG9" s="194" t="n"/>
      <c r="AH9" s="194" t="n"/>
      <c r="AI9" s="194" t="n"/>
      <c r="AJ9" s="194" t="n"/>
      <c r="AK9" s="194" t="n"/>
      <c r="AL9" s="194" t="n"/>
      <c r="AM9" s="194" t="n"/>
      <c r="AN9" s="194" t="n"/>
      <c r="AO9" s="194" t="n"/>
      <c r="AP9" s="194" t="n"/>
      <c r="AQ9" s="194" t="n"/>
      <c r="AR9" s="194" t="n"/>
      <c r="AS9" s="194" t="n"/>
      <c r="AT9" s="194" t="n"/>
      <c r="AU9" s="194" t="n"/>
      <c r="AV9" s="194" t="n"/>
      <c r="AW9" s="194" t="n"/>
      <c r="AX9" s="194" t="n"/>
      <c r="AY9" s="194" t="n"/>
      <c r="AZ9" s="194" t="n"/>
      <c r="BA9" s="194" t="n"/>
      <c r="BB9" s="194" t="n"/>
      <c r="BC9" s="194" t="n"/>
      <c r="BD9" s="194" t="n"/>
      <c r="BE9" s="194" t="n"/>
      <c r="BF9" s="194" t="n"/>
      <c r="BG9" s="194" t="n"/>
      <c r="BH9" s="194" t="n"/>
      <c r="BI9" s="194" t="n"/>
    </row>
    <row r="10">
      <c r="A10" s="36" t="inlineStr">
        <is>
          <t>Expenditures</t>
        </is>
      </c>
      <c r="B10" s="94" t="n"/>
      <c r="C10" s="94" t="n"/>
      <c r="D10" s="94" t="n"/>
      <c r="E10" s="94" t="n"/>
      <c r="F10" s="94" t="n"/>
      <c r="G10" s="94" t="n"/>
      <c r="H10" s="94" t="n"/>
      <c r="I10" s="94" t="n"/>
      <c r="J10" s="94" t="n"/>
      <c r="K10" s="94" t="n"/>
      <c r="L10" s="94" t="n"/>
      <c r="M10" s="94" t="n"/>
      <c r="N10" s="94" t="n"/>
      <c r="O10" s="94" t="n"/>
      <c r="P10" s="94" t="n"/>
      <c r="Q10" s="94" t="n"/>
      <c r="R10" s="94" t="n"/>
      <c r="S10" s="94" t="n"/>
      <c r="T10" s="94" t="n"/>
      <c r="U10" s="94" t="n"/>
      <c r="V10" s="94" t="n"/>
      <c r="W10" s="94" t="n"/>
      <c r="X10" s="94" t="n"/>
      <c r="Y10" s="94" t="n"/>
    </row>
    <row r="11">
      <c r="A11" s="38" t="inlineStr">
        <is>
          <t>Registered Agent, State Filing Fees, Etc.</t>
        </is>
      </c>
      <c r="B11" s="133" t="n">
        <v>0</v>
      </c>
      <c r="C11" s="133" t="n">
        <v>0</v>
      </c>
      <c r="D11" s="133" t="n">
        <v>0</v>
      </c>
      <c r="E11" s="133" t="n">
        <v>0</v>
      </c>
      <c r="F11" s="133" t="n">
        <v>0</v>
      </c>
      <c r="G11" s="133" t="n">
        <v>0</v>
      </c>
      <c r="H11" s="133" t="n">
        <v>0</v>
      </c>
      <c r="I11" s="133" t="n">
        <v>0</v>
      </c>
      <c r="J11" s="133" t="n">
        <v>0</v>
      </c>
      <c r="K11" s="133" t="n">
        <v>0</v>
      </c>
      <c r="L11" s="133" t="n">
        <v>0</v>
      </c>
      <c r="M11" s="133" t="n">
        <v>0</v>
      </c>
      <c r="N11" s="133" t="n">
        <v>0</v>
      </c>
      <c r="O11" s="133" t="n">
        <v>0</v>
      </c>
      <c r="P11" s="133" t="n">
        <v>500</v>
      </c>
      <c r="Q11" s="133" t="n">
        <v>0</v>
      </c>
      <c r="R11" s="133" t="n">
        <v>0</v>
      </c>
      <c r="S11" s="133" t="n">
        <v>0</v>
      </c>
      <c r="T11" s="133" t="n">
        <v>0</v>
      </c>
      <c r="U11" s="133" t="n">
        <v>0</v>
      </c>
      <c r="V11" s="133" t="n">
        <v>0</v>
      </c>
      <c r="W11" s="133" t="n">
        <v>0</v>
      </c>
      <c r="X11" s="133" t="n">
        <v>0</v>
      </c>
      <c r="Y11" s="133" t="n">
        <v>0</v>
      </c>
      <c r="Z11" s="133" t="n">
        <v>0</v>
      </c>
      <c r="AA11" s="133" t="n">
        <v>0</v>
      </c>
      <c r="AB11" s="133" t="n">
        <v>0</v>
      </c>
      <c r="AC11" s="133" t="n">
        <v>0</v>
      </c>
      <c r="AD11" s="133" t="n">
        <v>0</v>
      </c>
      <c r="AE11" s="133" t="n">
        <v>0</v>
      </c>
      <c r="AF11" s="133" t="n">
        <v>0</v>
      </c>
      <c r="AG11" s="133" t="n">
        <v>0</v>
      </c>
      <c r="AH11" s="133" t="n">
        <v>0</v>
      </c>
      <c r="AI11" s="133" t="n">
        <v>0</v>
      </c>
      <c r="AJ11" s="133" t="n">
        <v>0</v>
      </c>
      <c r="AK11" s="133" t="n">
        <v>0</v>
      </c>
      <c r="AL11" s="133" t="n">
        <v>0</v>
      </c>
      <c r="AM11" s="133" t="n">
        <v>0</v>
      </c>
      <c r="AN11" s="133" t="n">
        <v>0</v>
      </c>
      <c r="AO11" s="133" t="n">
        <v>0</v>
      </c>
      <c r="AP11" s="133" t="n">
        <v>0</v>
      </c>
      <c r="AQ11" s="133" t="n">
        <v>0</v>
      </c>
      <c r="AR11" s="133" t="n">
        <v>0</v>
      </c>
      <c r="AS11" s="133" t="n">
        <v>0</v>
      </c>
      <c r="AT11" s="133" t="n">
        <v>0</v>
      </c>
      <c r="AU11" s="133" t="n">
        <v>0</v>
      </c>
      <c r="AV11" s="133" t="n">
        <v>0</v>
      </c>
      <c r="AW11" s="133" t="n">
        <v>0</v>
      </c>
      <c r="AX11" s="133" t="n">
        <v>0</v>
      </c>
      <c r="AY11" s="133" t="n">
        <v>0</v>
      </c>
      <c r="AZ11" s="133" t="n">
        <v>0</v>
      </c>
      <c r="BA11" s="133" t="n">
        <v>0</v>
      </c>
      <c r="BB11" s="133" t="n">
        <v>0</v>
      </c>
      <c r="BC11" s="133" t="n">
        <v>0</v>
      </c>
      <c r="BD11" s="133" t="n">
        <v>0</v>
      </c>
      <c r="BE11" s="133" t="n">
        <v>0</v>
      </c>
      <c r="BF11" s="133" t="n">
        <v>0</v>
      </c>
      <c r="BG11" s="133" t="n">
        <v>0</v>
      </c>
      <c r="BH11" s="133" t="n">
        <v>0</v>
      </c>
      <c r="BI11" s="133" t="n">
        <v>0</v>
      </c>
    </row>
    <row r="12">
      <c r="A12" s="38" t="inlineStr">
        <is>
          <t>Trademarks &amp; Patents</t>
        </is>
      </c>
      <c r="B12" s="133" t="n">
        <v>0</v>
      </c>
      <c r="C12" s="133" t="n">
        <v>0</v>
      </c>
      <c r="D12" s="133" t="n">
        <v>0</v>
      </c>
      <c r="E12" s="133" t="n">
        <v>0</v>
      </c>
      <c r="F12" s="133" t="n">
        <v>0</v>
      </c>
      <c r="G12" s="133" t="n">
        <v>0</v>
      </c>
      <c r="H12" s="133" t="n">
        <v>0</v>
      </c>
      <c r="I12" s="133" t="n">
        <v>0</v>
      </c>
      <c r="J12" s="133" t="n">
        <v>0</v>
      </c>
      <c r="K12" s="133" t="n">
        <v>0</v>
      </c>
      <c r="L12" s="133" t="n">
        <v>0</v>
      </c>
      <c r="M12" s="133" t="n">
        <v>0</v>
      </c>
      <c r="N12" s="133" t="n">
        <v>0</v>
      </c>
      <c r="O12" s="133" t="n">
        <v>0</v>
      </c>
      <c r="P12" s="133" t="n">
        <v>0</v>
      </c>
      <c r="Q12" s="133" t="n">
        <v>0</v>
      </c>
      <c r="R12" s="133" t="n">
        <v>0</v>
      </c>
      <c r="S12" s="133" t="n">
        <v>0</v>
      </c>
      <c r="T12" s="133" t="n">
        <v>0</v>
      </c>
      <c r="U12" s="133" t="n">
        <v>0</v>
      </c>
      <c r="V12" s="133" t="n">
        <v>0</v>
      </c>
      <c r="W12" s="133" t="n">
        <v>0</v>
      </c>
      <c r="X12" s="133" t="n">
        <v>0</v>
      </c>
      <c r="Y12" s="133" t="n">
        <v>0</v>
      </c>
      <c r="Z12" s="133" t="n">
        <v>0</v>
      </c>
      <c r="AA12" s="133" t="n">
        <v>0</v>
      </c>
      <c r="AB12" s="133" t="n">
        <v>0</v>
      </c>
      <c r="AC12" s="133" t="n">
        <v>0</v>
      </c>
      <c r="AD12" s="133" t="n">
        <v>0</v>
      </c>
      <c r="AE12" s="133" t="n">
        <v>0</v>
      </c>
      <c r="AF12" s="133" t="n">
        <v>0</v>
      </c>
      <c r="AG12" s="133" t="n">
        <v>0</v>
      </c>
      <c r="AH12" s="133" t="n">
        <v>0</v>
      </c>
      <c r="AI12" s="133" t="n">
        <v>0</v>
      </c>
      <c r="AJ12" s="133" t="n">
        <v>0</v>
      </c>
      <c r="AK12" s="133" t="n">
        <v>0</v>
      </c>
      <c r="AL12" s="133" t="n">
        <v>0</v>
      </c>
      <c r="AM12" s="133" t="n">
        <v>0</v>
      </c>
      <c r="AN12" s="133" t="n">
        <v>0</v>
      </c>
      <c r="AO12" s="133" t="n">
        <v>0</v>
      </c>
      <c r="AP12" s="133" t="n">
        <v>0</v>
      </c>
      <c r="AQ12" s="133" t="n">
        <v>0</v>
      </c>
      <c r="AR12" s="133" t="n">
        <v>0</v>
      </c>
      <c r="AS12" s="133" t="n">
        <v>0</v>
      </c>
      <c r="AT12" s="133" t="n">
        <v>0</v>
      </c>
      <c r="AU12" s="133" t="n">
        <v>0</v>
      </c>
      <c r="AV12" s="133" t="n">
        <v>0</v>
      </c>
      <c r="AW12" s="133" t="n">
        <v>0</v>
      </c>
      <c r="AX12" s="133" t="n">
        <v>0</v>
      </c>
      <c r="AY12" s="133" t="n">
        <v>0</v>
      </c>
      <c r="AZ12" s="133" t="n">
        <v>0</v>
      </c>
      <c r="BA12" s="133" t="n">
        <v>0</v>
      </c>
      <c r="BB12" s="133" t="n">
        <v>0</v>
      </c>
      <c r="BC12" s="133" t="n">
        <v>0</v>
      </c>
      <c r="BD12" s="133" t="n">
        <v>0</v>
      </c>
      <c r="BE12" s="133" t="n">
        <v>0</v>
      </c>
      <c r="BF12" s="133" t="n">
        <v>0</v>
      </c>
      <c r="BG12" s="133" t="n">
        <v>0</v>
      </c>
      <c r="BH12" s="133" t="n">
        <v>0</v>
      </c>
      <c r="BI12" s="133" t="n">
        <v>0</v>
      </c>
    </row>
    <row r="13">
      <c r="A13" s="38" t="inlineStr">
        <is>
          <t>Team Travel</t>
        </is>
      </c>
      <c r="B13" s="133" t="n">
        <v>0</v>
      </c>
      <c r="C13" s="133" t="n">
        <v>0</v>
      </c>
      <c r="D13" s="133" t="n">
        <v>0</v>
      </c>
      <c r="E13" s="133" t="n">
        <v>0</v>
      </c>
      <c r="F13" s="133" t="n">
        <v>0</v>
      </c>
      <c r="G13" s="133" t="n">
        <v>0</v>
      </c>
      <c r="H13" s="133" t="n">
        <v>0</v>
      </c>
      <c r="I13" s="133" t="n">
        <v>0</v>
      </c>
      <c r="J13" s="133" t="n">
        <v>0</v>
      </c>
      <c r="K13" s="133" t="n">
        <v>0</v>
      </c>
      <c r="L13" s="133" t="n">
        <v>0</v>
      </c>
      <c r="M13" s="133" t="n">
        <v>0</v>
      </c>
      <c r="N13" s="133" t="n">
        <v>5000</v>
      </c>
      <c r="O13" s="133" t="n">
        <v>5000</v>
      </c>
      <c r="P13" s="133" t="n">
        <v>5000</v>
      </c>
      <c r="Q13" s="133" t="n">
        <v>10000</v>
      </c>
      <c r="R13" s="133" t="n">
        <v>10000</v>
      </c>
      <c r="S13" s="133" t="n">
        <v>10000</v>
      </c>
      <c r="T13" s="133" t="n">
        <v>10000</v>
      </c>
      <c r="U13" s="133" t="n">
        <v>10000</v>
      </c>
      <c r="V13" s="133" t="n">
        <v>10000</v>
      </c>
      <c r="W13" s="133" t="n">
        <v>10000</v>
      </c>
      <c r="X13" s="133" t="n">
        <v>10000</v>
      </c>
      <c r="Y13" s="133" t="n">
        <v>10000</v>
      </c>
      <c r="Z13" s="133" t="n">
        <v>10000</v>
      </c>
      <c r="AA13" s="133" t="n">
        <v>10000</v>
      </c>
      <c r="AB13" s="133" t="n">
        <v>10000</v>
      </c>
      <c r="AC13" s="133" t="n">
        <v>10000</v>
      </c>
      <c r="AD13" s="133" t="n">
        <v>10000</v>
      </c>
      <c r="AE13" s="133" t="n">
        <v>10000</v>
      </c>
      <c r="AF13" s="133" t="n">
        <v>10000</v>
      </c>
      <c r="AG13" s="133" t="n">
        <v>10000</v>
      </c>
      <c r="AH13" s="133" t="n">
        <v>10000</v>
      </c>
      <c r="AI13" s="133" t="n">
        <v>10000</v>
      </c>
      <c r="AJ13" s="133" t="n">
        <v>10000</v>
      </c>
      <c r="AK13" s="133" t="n">
        <v>10000</v>
      </c>
      <c r="AL13" s="133" t="n">
        <v>10000</v>
      </c>
      <c r="AM13" s="133" t="n">
        <v>10000</v>
      </c>
      <c r="AN13" s="133" t="n">
        <v>10000</v>
      </c>
      <c r="AO13" s="133" t="n">
        <v>10000</v>
      </c>
      <c r="AP13" s="133" t="n">
        <v>10000</v>
      </c>
      <c r="AQ13" s="133" t="n">
        <v>10000</v>
      </c>
      <c r="AR13" s="133" t="n">
        <v>10000</v>
      </c>
      <c r="AS13" s="133" t="n">
        <v>10000</v>
      </c>
      <c r="AT13" s="133" t="n">
        <v>10000</v>
      </c>
      <c r="AU13" s="133" t="n">
        <v>10000</v>
      </c>
      <c r="AV13" s="133" t="n">
        <v>10000</v>
      </c>
      <c r="AW13" s="133" t="n">
        <v>10000</v>
      </c>
      <c r="AX13" s="133" t="n">
        <v>10000</v>
      </c>
      <c r="AY13" s="133" t="n">
        <v>10000</v>
      </c>
      <c r="AZ13" s="133" t="n">
        <v>10000</v>
      </c>
      <c r="BA13" s="133" t="n">
        <v>10000</v>
      </c>
      <c r="BB13" s="133" t="n">
        <v>10000</v>
      </c>
      <c r="BC13" s="133" t="n">
        <v>10000</v>
      </c>
      <c r="BD13" s="133" t="n">
        <v>10000</v>
      </c>
      <c r="BE13" s="133" t="n">
        <v>10000</v>
      </c>
      <c r="BF13" s="133" t="n">
        <v>10000</v>
      </c>
      <c r="BG13" s="133" t="n">
        <v>10000</v>
      </c>
      <c r="BH13" s="133" t="n">
        <v>10000</v>
      </c>
      <c r="BI13" s="133" t="n">
        <v>10000</v>
      </c>
    </row>
    <row r="14">
      <c r="A14" s="38" t="inlineStr">
        <is>
          <t>External Design Support</t>
        </is>
      </c>
      <c r="B14" s="133" t="n">
        <v>0</v>
      </c>
      <c r="C14" s="133" t="n">
        <v>0</v>
      </c>
      <c r="D14" s="133" t="n">
        <v>0</v>
      </c>
      <c r="E14" s="133" t="n">
        <v>0</v>
      </c>
      <c r="F14" s="133" t="n">
        <v>0</v>
      </c>
      <c r="G14" s="133" t="n">
        <v>0</v>
      </c>
      <c r="H14" s="133" t="n">
        <v>0</v>
      </c>
      <c r="I14" s="133" t="n">
        <v>0</v>
      </c>
      <c r="J14" s="133" t="n">
        <v>0</v>
      </c>
      <c r="K14" s="133" t="n">
        <v>0</v>
      </c>
      <c r="L14" s="133" t="n">
        <v>2500</v>
      </c>
      <c r="M14" s="133" t="n">
        <v>2500</v>
      </c>
      <c r="N14" s="133" t="n">
        <v>2500</v>
      </c>
      <c r="O14" s="133" t="n">
        <v>2500</v>
      </c>
      <c r="P14" s="133" t="n">
        <v>2500</v>
      </c>
      <c r="Q14" s="133" t="n">
        <v>2500</v>
      </c>
      <c r="R14" s="133" t="n">
        <v>2500</v>
      </c>
      <c r="S14" s="133" t="n">
        <v>2500</v>
      </c>
      <c r="T14" s="133" t="n">
        <v>2500</v>
      </c>
      <c r="U14" s="133" t="n">
        <v>2500</v>
      </c>
      <c r="V14" s="133" t="n">
        <v>2500</v>
      </c>
      <c r="W14" s="133" t="n">
        <v>2500</v>
      </c>
      <c r="X14" s="133" t="n">
        <v>2500</v>
      </c>
      <c r="Y14" s="133" t="n">
        <v>2500</v>
      </c>
      <c r="Z14" s="133" t="n">
        <v>5000</v>
      </c>
      <c r="AA14" s="133" t="n">
        <v>5000</v>
      </c>
      <c r="AB14" s="133" t="n">
        <v>5000</v>
      </c>
      <c r="AC14" s="133" t="n">
        <v>5000</v>
      </c>
      <c r="AD14" s="133" t="n">
        <v>5000</v>
      </c>
      <c r="AE14" s="133" t="n">
        <v>5000</v>
      </c>
      <c r="AF14" s="133" t="n">
        <v>5000</v>
      </c>
      <c r="AG14" s="133" t="n">
        <v>5000</v>
      </c>
      <c r="AH14" s="133" t="n">
        <v>5000</v>
      </c>
      <c r="AI14" s="133" t="n">
        <v>5000</v>
      </c>
      <c r="AJ14" s="133" t="n">
        <v>5000</v>
      </c>
      <c r="AK14" s="133" t="n">
        <v>5000</v>
      </c>
      <c r="AL14" s="133" t="n">
        <v>5000</v>
      </c>
      <c r="AM14" s="133" t="n">
        <v>5000</v>
      </c>
      <c r="AN14" s="133" t="n">
        <v>5000</v>
      </c>
      <c r="AO14" s="133" t="n">
        <v>5000</v>
      </c>
      <c r="AP14" s="133" t="n">
        <v>5000</v>
      </c>
      <c r="AQ14" s="133" t="n">
        <v>5000</v>
      </c>
      <c r="AR14" s="133" t="n">
        <v>5000</v>
      </c>
      <c r="AS14" s="133" t="n">
        <v>5000</v>
      </c>
      <c r="AT14" s="133" t="n">
        <v>5000</v>
      </c>
      <c r="AU14" s="133" t="n">
        <v>5000</v>
      </c>
      <c r="AV14" s="133" t="n">
        <v>5000</v>
      </c>
      <c r="AW14" s="133" t="n">
        <v>5000</v>
      </c>
      <c r="AX14" s="133" t="n">
        <v>5000</v>
      </c>
      <c r="AY14" s="133" t="n">
        <v>5000</v>
      </c>
      <c r="AZ14" s="133" t="n">
        <v>5000</v>
      </c>
      <c r="BA14" s="133" t="n">
        <v>5000</v>
      </c>
      <c r="BB14" s="133" t="n">
        <v>5000</v>
      </c>
      <c r="BC14" s="133" t="n">
        <v>5000</v>
      </c>
      <c r="BD14" s="133" t="n">
        <v>5000</v>
      </c>
      <c r="BE14" s="133" t="n">
        <v>5000</v>
      </c>
      <c r="BF14" s="133" t="n">
        <v>5000</v>
      </c>
      <c r="BG14" s="133" t="n">
        <v>5000</v>
      </c>
      <c r="BH14" s="133" t="n">
        <v>5000</v>
      </c>
      <c r="BI14" s="133" t="n">
        <v>5000</v>
      </c>
    </row>
    <row r="15">
      <c r="A15" s="38" t="inlineStr">
        <is>
          <t>External Legal Cousel</t>
        </is>
      </c>
      <c r="B15" s="133" t="n">
        <v>0</v>
      </c>
      <c r="C15" s="133" t="n">
        <v>0</v>
      </c>
      <c r="D15" s="133" t="n">
        <v>0</v>
      </c>
      <c r="E15" s="133" t="n">
        <v>0</v>
      </c>
      <c r="F15" s="133" t="n">
        <v>0</v>
      </c>
      <c r="G15" s="133" t="n">
        <v>0</v>
      </c>
      <c r="H15" s="133" t="n">
        <v>0</v>
      </c>
      <c r="I15" s="133" t="n">
        <v>0</v>
      </c>
      <c r="J15" s="133" t="n">
        <v>0</v>
      </c>
      <c r="K15" s="133" t="n">
        <v>0</v>
      </c>
      <c r="L15" s="133" t="n">
        <v>0</v>
      </c>
      <c r="M15" s="133" t="n">
        <v>0</v>
      </c>
      <c r="N15" s="133" t="n">
        <v>5000</v>
      </c>
      <c r="O15" s="133" t="n">
        <v>0</v>
      </c>
      <c r="P15" s="133" t="n">
        <v>0</v>
      </c>
      <c r="Q15" s="133" t="n">
        <v>5000</v>
      </c>
      <c r="R15" s="133" t="n">
        <v>0</v>
      </c>
      <c r="S15" s="133" t="n">
        <v>0</v>
      </c>
      <c r="T15" s="133" t="n">
        <v>5000</v>
      </c>
      <c r="U15" s="133" t="n">
        <v>0</v>
      </c>
      <c r="V15" s="133" t="n">
        <v>0</v>
      </c>
      <c r="W15" s="133" t="n">
        <v>5000</v>
      </c>
      <c r="X15" s="133" t="n">
        <v>0</v>
      </c>
      <c r="Y15" s="133" t="n">
        <v>0</v>
      </c>
      <c r="Z15" s="133" t="n">
        <v>5000</v>
      </c>
      <c r="AA15" s="133" t="n">
        <v>0</v>
      </c>
      <c r="AB15" s="133" t="n">
        <v>0</v>
      </c>
      <c r="AC15" s="133" t="n">
        <v>5000</v>
      </c>
      <c r="AD15" s="133" t="n">
        <v>0</v>
      </c>
      <c r="AE15" s="133" t="n">
        <v>0</v>
      </c>
      <c r="AF15" s="133" t="n">
        <v>5000</v>
      </c>
      <c r="AG15" s="133" t="n">
        <v>0</v>
      </c>
      <c r="AH15" s="133" t="n">
        <v>0</v>
      </c>
      <c r="AI15" s="133" t="n">
        <v>5000</v>
      </c>
      <c r="AJ15" s="133" t="n">
        <v>0</v>
      </c>
      <c r="AK15" s="133" t="n">
        <v>0</v>
      </c>
      <c r="AL15" s="133" t="n">
        <v>5000</v>
      </c>
      <c r="AM15" s="133" t="n">
        <v>0</v>
      </c>
      <c r="AN15" s="133" t="n">
        <v>0</v>
      </c>
      <c r="AO15" s="133" t="n">
        <v>5000</v>
      </c>
      <c r="AP15" s="133" t="n">
        <v>0</v>
      </c>
      <c r="AQ15" s="133" t="n">
        <v>0</v>
      </c>
      <c r="AR15" s="133" t="n">
        <v>5000</v>
      </c>
      <c r="AS15" s="133" t="n">
        <v>0</v>
      </c>
      <c r="AT15" s="133" t="n">
        <v>0</v>
      </c>
      <c r="AU15" s="133" t="n">
        <v>5000</v>
      </c>
      <c r="AV15" s="133" t="n">
        <v>0</v>
      </c>
      <c r="AW15" s="133" t="n">
        <v>0</v>
      </c>
      <c r="AX15" s="133" t="n">
        <v>5000</v>
      </c>
      <c r="AY15" s="133" t="n">
        <v>0</v>
      </c>
      <c r="AZ15" s="133" t="n">
        <v>0</v>
      </c>
      <c r="BA15" s="133" t="n">
        <v>5000</v>
      </c>
      <c r="BB15" s="133" t="n">
        <v>0</v>
      </c>
      <c r="BC15" s="133" t="n">
        <v>0</v>
      </c>
      <c r="BD15" s="133" t="n">
        <v>5000</v>
      </c>
      <c r="BE15" s="133" t="n">
        <v>0</v>
      </c>
      <c r="BF15" s="133" t="n">
        <v>0</v>
      </c>
      <c r="BG15" s="133" t="n">
        <v>5000</v>
      </c>
      <c r="BH15" s="133" t="n">
        <v>0</v>
      </c>
      <c r="BI15" s="133" t="n">
        <v>0</v>
      </c>
    </row>
    <row r="16">
      <c r="A16" s="38" t="inlineStr">
        <is>
          <t>Event Participation &amp; Sponsorship</t>
        </is>
      </c>
      <c r="B16" s="133" t="n">
        <v>0</v>
      </c>
      <c r="C16" s="133" t="n">
        <v>0</v>
      </c>
      <c r="D16" s="133" t="n">
        <v>0</v>
      </c>
      <c r="E16" s="133" t="n">
        <v>0</v>
      </c>
      <c r="F16" s="133" t="n">
        <v>0</v>
      </c>
      <c r="G16" s="133" t="n">
        <v>0</v>
      </c>
      <c r="H16" s="133" t="n">
        <v>0</v>
      </c>
      <c r="I16" s="133" t="n">
        <v>0</v>
      </c>
      <c r="J16" s="133" t="n">
        <v>0</v>
      </c>
      <c r="K16" s="133" t="n">
        <v>0</v>
      </c>
      <c r="L16" s="133" t="n">
        <v>0</v>
      </c>
      <c r="M16" s="133" t="n">
        <v>5000</v>
      </c>
      <c r="N16" s="133" t="n">
        <v>10000</v>
      </c>
      <c r="O16" s="133" t="n">
        <v>10000</v>
      </c>
      <c r="P16" s="133" t="n">
        <v>10000</v>
      </c>
      <c r="Q16" s="133" t="n">
        <v>10000</v>
      </c>
      <c r="R16" s="133" t="n">
        <v>10000</v>
      </c>
      <c r="S16" s="133" t="n">
        <v>10000</v>
      </c>
      <c r="T16" s="133" t="n">
        <v>10000</v>
      </c>
      <c r="U16" s="133" t="n">
        <v>10000</v>
      </c>
      <c r="V16" s="133" t="n">
        <v>10000</v>
      </c>
      <c r="W16" s="133" t="n">
        <v>10000</v>
      </c>
      <c r="X16" s="133" t="n">
        <v>10000</v>
      </c>
      <c r="Y16" s="133" t="n">
        <v>10000</v>
      </c>
      <c r="Z16" s="133" t="n">
        <v>10000</v>
      </c>
      <c r="AA16" s="133" t="n">
        <v>10000</v>
      </c>
      <c r="AB16" s="133" t="n">
        <v>10000</v>
      </c>
      <c r="AC16" s="133" t="n">
        <v>10000</v>
      </c>
      <c r="AD16" s="133" t="n">
        <v>10000</v>
      </c>
      <c r="AE16" s="133" t="n">
        <v>10000</v>
      </c>
      <c r="AF16" s="133" t="n">
        <v>10000</v>
      </c>
      <c r="AG16" s="133" t="n">
        <v>10000</v>
      </c>
      <c r="AH16" s="133" t="n">
        <v>25000</v>
      </c>
      <c r="AI16" s="133" t="n">
        <v>25000</v>
      </c>
      <c r="AJ16" s="133" t="n">
        <v>25000</v>
      </c>
      <c r="AK16" s="133" t="n">
        <v>25000</v>
      </c>
      <c r="AL16" s="133" t="n">
        <v>25000</v>
      </c>
      <c r="AM16" s="133" t="n">
        <v>25000</v>
      </c>
      <c r="AN16" s="133" t="n">
        <v>25000</v>
      </c>
      <c r="AO16" s="133" t="n">
        <v>25000</v>
      </c>
      <c r="AP16" s="133" t="n">
        <v>25000</v>
      </c>
      <c r="AQ16" s="133" t="n">
        <v>25000</v>
      </c>
      <c r="AR16" s="133" t="n">
        <v>25000</v>
      </c>
      <c r="AS16" s="133" t="n">
        <v>25000</v>
      </c>
      <c r="AT16" s="133" t="n">
        <v>25000</v>
      </c>
      <c r="AU16" s="133" t="n">
        <v>25000</v>
      </c>
      <c r="AV16" s="133" t="n">
        <v>25000</v>
      </c>
      <c r="AW16" s="133" t="n">
        <v>25000</v>
      </c>
      <c r="AX16" s="133" t="n">
        <v>25000</v>
      </c>
      <c r="AY16" s="133" t="n">
        <v>25000</v>
      </c>
      <c r="AZ16" s="133" t="n">
        <v>25000</v>
      </c>
      <c r="BA16" s="133" t="n">
        <v>25000</v>
      </c>
      <c r="BB16" s="133" t="n">
        <v>25000</v>
      </c>
      <c r="BC16" s="133" t="n">
        <v>25000</v>
      </c>
      <c r="BD16" s="133" t="n">
        <v>25000</v>
      </c>
      <c r="BE16" s="133" t="n">
        <v>25000</v>
      </c>
      <c r="BF16" s="133" t="n">
        <v>25000</v>
      </c>
      <c r="BG16" s="133" t="n">
        <v>25000</v>
      </c>
      <c r="BH16" s="133" t="n">
        <v>25000</v>
      </c>
      <c r="BI16" s="133" t="n">
        <v>25000</v>
      </c>
    </row>
    <row r="17">
      <c r="A17" s="38" t="inlineStr">
        <is>
          <t>Paid Media Buying</t>
        </is>
      </c>
      <c r="B17" s="133" t="n">
        <v>0</v>
      </c>
      <c r="C17" s="133" t="n">
        <v>0</v>
      </c>
      <c r="D17" s="133" t="n">
        <v>0</v>
      </c>
      <c r="E17" s="133" t="n">
        <v>0</v>
      </c>
      <c r="F17" s="133" t="n">
        <v>0</v>
      </c>
      <c r="G17" s="133" t="n">
        <v>0</v>
      </c>
      <c r="H17" s="133" t="n">
        <v>0</v>
      </c>
      <c r="I17" s="133" t="n">
        <v>0</v>
      </c>
      <c r="J17" s="133" t="n">
        <v>0</v>
      </c>
      <c r="K17" s="133" t="n">
        <v>0</v>
      </c>
      <c r="L17" s="133" t="n">
        <v>5000</v>
      </c>
      <c r="M17" s="133" t="n">
        <v>5000</v>
      </c>
      <c r="N17" s="133" t="n">
        <v>10000</v>
      </c>
      <c r="O17" s="133" t="n">
        <v>10000</v>
      </c>
      <c r="P17" s="133" t="n">
        <v>10000</v>
      </c>
      <c r="Q17" s="133" t="n">
        <v>10000</v>
      </c>
      <c r="R17" s="133" t="n">
        <v>10000</v>
      </c>
      <c r="S17" s="133" t="n">
        <v>10000</v>
      </c>
      <c r="T17" s="133" t="n">
        <v>10000</v>
      </c>
      <c r="U17" s="133" t="n">
        <v>10000</v>
      </c>
      <c r="V17" s="133" t="n">
        <v>10000</v>
      </c>
      <c r="W17" s="133" t="n">
        <v>10000</v>
      </c>
      <c r="X17" s="133" t="n">
        <v>10000</v>
      </c>
      <c r="Y17" s="133" t="n">
        <v>10000</v>
      </c>
      <c r="Z17" s="133" t="n">
        <v>10000</v>
      </c>
      <c r="AA17" s="133" t="n">
        <v>10000</v>
      </c>
      <c r="AB17" s="133" t="n">
        <v>10000</v>
      </c>
      <c r="AC17" s="133" t="n">
        <v>10000</v>
      </c>
      <c r="AD17" s="133" t="n">
        <v>10000</v>
      </c>
      <c r="AE17" s="133" t="n">
        <v>10000</v>
      </c>
      <c r="AF17" s="133" t="n">
        <v>20000</v>
      </c>
      <c r="AG17" s="133" t="n">
        <v>20000</v>
      </c>
      <c r="AH17" s="133" t="n">
        <v>20000</v>
      </c>
      <c r="AI17" s="133" t="n">
        <v>20000</v>
      </c>
      <c r="AJ17" s="133" t="n">
        <v>20000</v>
      </c>
      <c r="AK17" s="133" t="n">
        <v>20000</v>
      </c>
      <c r="AL17" s="133" t="n">
        <v>40000</v>
      </c>
      <c r="AM17" s="133" t="n">
        <v>40000</v>
      </c>
      <c r="AN17" s="133" t="n">
        <v>40000</v>
      </c>
      <c r="AO17" s="133" t="n">
        <v>40000</v>
      </c>
      <c r="AP17" s="133" t="n">
        <v>40000</v>
      </c>
      <c r="AQ17" s="133" t="n">
        <v>40000</v>
      </c>
      <c r="AR17" s="133" t="n">
        <v>40000</v>
      </c>
      <c r="AS17" s="133" t="n">
        <v>40000</v>
      </c>
      <c r="AT17" s="133" t="n">
        <v>40000</v>
      </c>
      <c r="AU17" s="133" t="n">
        <v>40000</v>
      </c>
      <c r="AV17" s="133" t="n">
        <v>40000</v>
      </c>
      <c r="AW17" s="133" t="n">
        <v>40000</v>
      </c>
      <c r="AX17" s="133" t="n">
        <v>50000</v>
      </c>
      <c r="AY17" s="133" t="n">
        <v>50000</v>
      </c>
      <c r="AZ17" s="133" t="n">
        <v>50000</v>
      </c>
      <c r="BA17" s="133" t="n">
        <v>50000</v>
      </c>
      <c r="BB17" s="133" t="n">
        <v>50000</v>
      </c>
      <c r="BC17" s="133" t="n">
        <v>50000</v>
      </c>
      <c r="BD17" s="133" t="n">
        <v>50000</v>
      </c>
      <c r="BE17" s="133" t="n">
        <v>50000</v>
      </c>
      <c r="BF17" s="133" t="n">
        <v>50000</v>
      </c>
      <c r="BG17" s="133" t="n">
        <v>50000</v>
      </c>
      <c r="BH17" s="133" t="n">
        <v>50000</v>
      </c>
      <c r="BI17" s="133" t="n">
        <v>50000</v>
      </c>
    </row>
    <row r="18">
      <c r="A18" s="38" t="inlineStr">
        <is>
          <t>Influencer / Creator Partnerships</t>
        </is>
      </c>
      <c r="B18" s="133" t="n">
        <v>0</v>
      </c>
      <c r="C18" s="133" t="n">
        <v>0</v>
      </c>
      <c r="D18" s="133" t="n">
        <v>0</v>
      </c>
      <c r="E18" s="133" t="n">
        <v>0</v>
      </c>
      <c r="F18" s="133" t="n">
        <v>0</v>
      </c>
      <c r="G18" s="133" t="n">
        <v>0</v>
      </c>
      <c r="H18" s="133" t="n">
        <v>0</v>
      </c>
      <c r="I18" s="133" t="n">
        <v>0</v>
      </c>
      <c r="J18" s="133" t="n">
        <v>0</v>
      </c>
      <c r="K18" s="133" t="n">
        <v>0</v>
      </c>
      <c r="L18" s="133" t="n">
        <v>0</v>
      </c>
      <c r="M18" s="133" t="n">
        <v>0</v>
      </c>
      <c r="N18" s="133" t="n">
        <v>5000</v>
      </c>
      <c r="O18" s="133" t="n">
        <v>5000</v>
      </c>
      <c r="P18" s="133" t="n">
        <v>5000</v>
      </c>
      <c r="Q18" s="133" t="n">
        <v>5000</v>
      </c>
      <c r="R18" s="133" t="n">
        <v>5000</v>
      </c>
      <c r="S18" s="133" t="n">
        <v>5000</v>
      </c>
      <c r="T18" s="133" t="n">
        <v>5000</v>
      </c>
      <c r="U18" s="133" t="n">
        <v>5000</v>
      </c>
      <c r="V18" s="133" t="n">
        <v>5000</v>
      </c>
      <c r="W18" s="133" t="n">
        <v>5000</v>
      </c>
      <c r="X18" s="133" t="n">
        <v>5000</v>
      </c>
      <c r="Y18" s="133" t="n">
        <v>5000</v>
      </c>
      <c r="Z18" s="133" t="n">
        <v>5000</v>
      </c>
      <c r="AA18" s="133" t="n">
        <v>5000</v>
      </c>
      <c r="AB18" s="133" t="n">
        <v>5000</v>
      </c>
      <c r="AC18" s="133" t="n">
        <v>5000</v>
      </c>
      <c r="AD18" s="133" t="n">
        <v>5000</v>
      </c>
      <c r="AE18" s="133" t="n">
        <v>5000</v>
      </c>
      <c r="AF18" s="133" t="n">
        <v>10000</v>
      </c>
      <c r="AG18" s="133" t="n">
        <v>10000</v>
      </c>
      <c r="AH18" s="133" t="n">
        <v>10000</v>
      </c>
      <c r="AI18" s="133" t="n">
        <v>10000</v>
      </c>
      <c r="AJ18" s="133" t="n">
        <v>10000</v>
      </c>
      <c r="AK18" s="133" t="n">
        <v>10000</v>
      </c>
      <c r="AL18" s="133" t="n">
        <v>10000</v>
      </c>
      <c r="AM18" s="133" t="n">
        <v>10000</v>
      </c>
      <c r="AN18" s="133" t="n">
        <v>10000</v>
      </c>
      <c r="AO18" s="133" t="n">
        <v>10000</v>
      </c>
      <c r="AP18" s="133" t="n">
        <v>10000</v>
      </c>
      <c r="AQ18" s="133" t="n">
        <v>10000</v>
      </c>
      <c r="AR18" s="133" t="n">
        <v>10000</v>
      </c>
      <c r="AS18" s="133" t="n">
        <v>10000</v>
      </c>
      <c r="AT18" s="133" t="n">
        <v>10000</v>
      </c>
      <c r="AU18" s="133" t="n">
        <v>10000</v>
      </c>
      <c r="AV18" s="133" t="n">
        <v>10000</v>
      </c>
      <c r="AW18" s="133" t="n">
        <v>10000</v>
      </c>
      <c r="AX18" s="133" t="n">
        <v>25000</v>
      </c>
      <c r="AY18" s="133" t="n">
        <v>25000</v>
      </c>
      <c r="AZ18" s="133" t="n">
        <v>25000</v>
      </c>
      <c r="BA18" s="133" t="n">
        <v>25000</v>
      </c>
      <c r="BB18" s="133" t="n">
        <v>25000</v>
      </c>
      <c r="BC18" s="133" t="n">
        <v>25000</v>
      </c>
      <c r="BD18" s="133" t="n">
        <v>25000</v>
      </c>
      <c r="BE18" s="133" t="n">
        <v>25000</v>
      </c>
      <c r="BF18" s="133" t="n">
        <v>25000</v>
      </c>
      <c r="BG18" s="133" t="n">
        <v>25000</v>
      </c>
      <c r="BH18" s="133" t="n">
        <v>25000</v>
      </c>
      <c r="BI18" s="133" t="n">
        <v>25000</v>
      </c>
    </row>
    <row r="19">
      <c r="A19" s="38" t="inlineStr">
        <is>
          <t>PR / Comms Agency</t>
        </is>
      </c>
      <c r="B19" s="133" t="n">
        <v>0</v>
      </c>
      <c r="C19" s="133" t="n">
        <v>0</v>
      </c>
      <c r="D19" s="133" t="n">
        <v>0</v>
      </c>
      <c r="E19" s="133" t="n">
        <v>0</v>
      </c>
      <c r="F19" s="133" t="n">
        <v>0</v>
      </c>
      <c r="G19" s="133" t="n">
        <v>0</v>
      </c>
      <c r="H19" s="133" t="n">
        <v>0</v>
      </c>
      <c r="I19" s="133" t="n">
        <v>0</v>
      </c>
      <c r="J19" s="133" t="n">
        <v>0</v>
      </c>
      <c r="K19" s="133" t="n">
        <v>0</v>
      </c>
      <c r="L19" s="133" t="n">
        <v>0</v>
      </c>
      <c r="M19" s="133" t="n">
        <v>0</v>
      </c>
      <c r="N19" s="133" t="n">
        <v>5000</v>
      </c>
      <c r="O19" s="133" t="n">
        <v>5000</v>
      </c>
      <c r="P19" s="133" t="n">
        <v>5000</v>
      </c>
      <c r="Q19" s="133" t="n">
        <v>5000</v>
      </c>
      <c r="R19" s="133" t="n">
        <v>5000</v>
      </c>
      <c r="S19" s="133" t="n">
        <v>5000</v>
      </c>
      <c r="T19" s="133" t="n">
        <v>5000</v>
      </c>
      <c r="U19" s="133" t="n">
        <v>5000</v>
      </c>
      <c r="V19" s="133" t="n">
        <v>5000</v>
      </c>
      <c r="W19" s="133" t="n">
        <v>5000</v>
      </c>
      <c r="X19" s="133" t="n">
        <v>5000</v>
      </c>
      <c r="Y19" s="133" t="n">
        <v>5000</v>
      </c>
      <c r="Z19" s="133" t="n">
        <v>10000</v>
      </c>
      <c r="AA19" s="133" t="n">
        <v>10000</v>
      </c>
      <c r="AB19" s="133" t="n">
        <v>10000</v>
      </c>
      <c r="AC19" s="133" t="n">
        <v>10000</v>
      </c>
      <c r="AD19" s="133" t="n">
        <v>10000</v>
      </c>
      <c r="AE19" s="133" t="n">
        <v>10000</v>
      </c>
      <c r="AF19" s="133" t="n">
        <v>10000</v>
      </c>
      <c r="AG19" s="133" t="n">
        <v>10000</v>
      </c>
      <c r="AH19" s="133" t="n">
        <v>10000</v>
      </c>
      <c r="AI19" s="133" t="n">
        <v>10000</v>
      </c>
      <c r="AJ19" s="133" t="n">
        <v>10000</v>
      </c>
      <c r="AK19" s="133" t="n">
        <v>10000</v>
      </c>
      <c r="AL19" s="133" t="n">
        <v>10000</v>
      </c>
      <c r="AM19" s="133" t="n">
        <v>10000</v>
      </c>
      <c r="AN19" s="133" t="n">
        <v>10000</v>
      </c>
      <c r="AO19" s="133" t="n">
        <v>10000</v>
      </c>
      <c r="AP19" s="133" t="n">
        <v>10000</v>
      </c>
      <c r="AQ19" s="133" t="n">
        <v>10000</v>
      </c>
      <c r="AR19" s="133" t="n">
        <v>10000</v>
      </c>
      <c r="AS19" s="133" t="n">
        <v>10000</v>
      </c>
      <c r="AT19" s="133" t="n">
        <v>10000</v>
      </c>
      <c r="AU19" s="133" t="n">
        <v>10000</v>
      </c>
      <c r="AV19" s="133" t="n">
        <v>10000</v>
      </c>
      <c r="AW19" s="133" t="n">
        <v>10000</v>
      </c>
      <c r="AX19" s="133" t="n">
        <v>10000</v>
      </c>
      <c r="AY19" s="133" t="n">
        <v>10000</v>
      </c>
      <c r="AZ19" s="133" t="n">
        <v>10000</v>
      </c>
      <c r="BA19" s="133" t="n">
        <v>10000</v>
      </c>
      <c r="BB19" s="133" t="n">
        <v>10000</v>
      </c>
      <c r="BC19" s="133" t="n">
        <v>10000</v>
      </c>
      <c r="BD19" s="133" t="n">
        <v>10000</v>
      </c>
      <c r="BE19" s="133" t="n">
        <v>10000</v>
      </c>
      <c r="BF19" s="133" t="n">
        <v>10000</v>
      </c>
      <c r="BG19" s="133" t="n">
        <v>10000</v>
      </c>
      <c r="BH19" s="133" t="n">
        <v>10000</v>
      </c>
      <c r="BI19" s="133" t="n">
        <v>10000</v>
      </c>
    </row>
    <row r="20">
      <c r="A20" s="38" t="inlineStr">
        <is>
          <t>KYC/AML Provider Costs</t>
        </is>
      </c>
      <c r="B20" s="133" t="n">
        <v>0</v>
      </c>
      <c r="C20" s="133" t="n">
        <v>0</v>
      </c>
      <c r="D20" s="133" t="n">
        <v>0</v>
      </c>
      <c r="E20" s="133" t="n">
        <v>0</v>
      </c>
      <c r="F20" s="133" t="n">
        <v>0</v>
      </c>
      <c r="G20" s="133" t="n">
        <v>0</v>
      </c>
      <c r="H20" s="133" t="n">
        <v>0</v>
      </c>
      <c r="I20" s="133" t="n">
        <v>0</v>
      </c>
      <c r="J20" s="133" t="n">
        <v>0</v>
      </c>
      <c r="K20" s="133" t="n">
        <v>0</v>
      </c>
      <c r="L20" s="133" t="n">
        <v>0</v>
      </c>
      <c r="M20" s="133" t="n">
        <v>2500</v>
      </c>
      <c r="N20" s="133" t="n">
        <v>5000</v>
      </c>
      <c r="O20" s="133" t="n">
        <v>5000</v>
      </c>
      <c r="P20" s="133" t="n">
        <v>5000</v>
      </c>
      <c r="Q20" s="133" t="n">
        <v>5000</v>
      </c>
      <c r="R20" s="133" t="n">
        <v>5000</v>
      </c>
      <c r="S20" s="133" t="n">
        <v>5000</v>
      </c>
      <c r="T20" s="133" t="n">
        <v>5000</v>
      </c>
      <c r="U20" s="133" t="n">
        <v>5000</v>
      </c>
      <c r="V20" s="133" t="n">
        <v>5000</v>
      </c>
      <c r="W20" s="133" t="n">
        <v>5000</v>
      </c>
      <c r="X20" s="133" t="n">
        <v>5000</v>
      </c>
      <c r="Y20" s="133" t="n">
        <v>5000</v>
      </c>
      <c r="Z20" s="133" t="n">
        <v>5000</v>
      </c>
      <c r="AA20" s="133" t="n">
        <v>5000</v>
      </c>
      <c r="AB20" s="133" t="n">
        <v>5000</v>
      </c>
      <c r="AC20" s="133" t="n">
        <v>5000</v>
      </c>
      <c r="AD20" s="133" t="n">
        <v>5000</v>
      </c>
      <c r="AE20" s="133" t="n">
        <v>5000</v>
      </c>
      <c r="AF20" s="133" t="n">
        <v>5000</v>
      </c>
      <c r="AG20" s="133" t="n">
        <v>5000</v>
      </c>
      <c r="AH20" s="133" t="n">
        <v>5000</v>
      </c>
      <c r="AI20" s="133" t="n">
        <v>5000</v>
      </c>
      <c r="AJ20" s="133" t="n">
        <v>5000</v>
      </c>
      <c r="AK20" s="133" t="n">
        <v>5000</v>
      </c>
      <c r="AL20" s="133" t="n">
        <v>5000</v>
      </c>
      <c r="AM20" s="133" t="n">
        <v>5000</v>
      </c>
      <c r="AN20" s="133" t="n">
        <v>5000</v>
      </c>
      <c r="AO20" s="133" t="n">
        <v>5000</v>
      </c>
      <c r="AP20" s="133" t="n">
        <v>5000</v>
      </c>
      <c r="AQ20" s="133" t="n">
        <v>5000</v>
      </c>
      <c r="AR20" s="133" t="n">
        <v>5000</v>
      </c>
      <c r="AS20" s="133" t="n">
        <v>5000</v>
      </c>
      <c r="AT20" s="133" t="n">
        <v>5000</v>
      </c>
      <c r="AU20" s="133" t="n">
        <v>5000</v>
      </c>
      <c r="AV20" s="133" t="n">
        <v>5000</v>
      </c>
      <c r="AW20" s="133" t="n">
        <v>5000</v>
      </c>
      <c r="AX20" s="133" t="n">
        <v>5000</v>
      </c>
      <c r="AY20" s="133" t="n">
        <v>5000</v>
      </c>
      <c r="AZ20" s="133" t="n">
        <v>5000</v>
      </c>
      <c r="BA20" s="133" t="n">
        <v>5000</v>
      </c>
      <c r="BB20" s="133" t="n">
        <v>5000</v>
      </c>
      <c r="BC20" s="133" t="n">
        <v>5000</v>
      </c>
      <c r="BD20" s="133" t="n">
        <v>5000</v>
      </c>
      <c r="BE20" s="133" t="n">
        <v>5000</v>
      </c>
      <c r="BF20" s="133" t="n">
        <v>5000</v>
      </c>
      <c r="BG20" s="133" t="n">
        <v>5000</v>
      </c>
      <c r="BH20" s="133" t="n">
        <v>5000</v>
      </c>
      <c r="BI20" s="133" t="n">
        <v>5000</v>
      </c>
    </row>
    <row r="21">
      <c r="A21" s="38" t="inlineStr">
        <is>
          <t>Regulatory Filings &amp; Compliance</t>
        </is>
      </c>
      <c r="B21" s="133" t="n">
        <v>0</v>
      </c>
      <c r="C21" s="133" t="n">
        <v>0</v>
      </c>
      <c r="D21" s="133" t="n">
        <v>0</v>
      </c>
      <c r="E21" s="133" t="n">
        <v>0</v>
      </c>
      <c r="F21" s="133" t="n">
        <v>0</v>
      </c>
      <c r="G21" s="133" t="n">
        <v>0</v>
      </c>
      <c r="H21" s="133" t="n">
        <v>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10000</v>
      </c>
      <c r="AA21" s="133" t="n">
        <v>0</v>
      </c>
      <c r="AB21" s="133" t="n">
        <v>0</v>
      </c>
      <c r="AC21" s="133" t="n">
        <v>0</v>
      </c>
      <c r="AD21" s="133" t="n">
        <v>0</v>
      </c>
      <c r="AE21" s="133" t="n">
        <v>0</v>
      </c>
      <c r="AF21" s="133" t="n">
        <v>0</v>
      </c>
      <c r="AG21" s="133" t="n">
        <v>0</v>
      </c>
      <c r="AH21" s="133" t="n">
        <v>0</v>
      </c>
      <c r="AI21" s="133" t="n">
        <v>0</v>
      </c>
      <c r="AJ21" s="133" t="n">
        <v>0</v>
      </c>
      <c r="AK21" s="133" t="n">
        <v>0</v>
      </c>
      <c r="AL21" s="133" t="n">
        <v>10000</v>
      </c>
      <c r="AM21" s="133" t="n">
        <v>0</v>
      </c>
      <c r="AN21" s="133" t="n">
        <v>0</v>
      </c>
      <c r="AO21" s="133" t="n">
        <v>0</v>
      </c>
      <c r="AP21" s="133" t="n">
        <v>0</v>
      </c>
      <c r="AQ21" s="133" t="n">
        <v>0</v>
      </c>
      <c r="AR21" s="133" t="n">
        <v>0</v>
      </c>
      <c r="AS21" s="133" t="n">
        <v>0</v>
      </c>
      <c r="AT21" s="133" t="n">
        <v>0</v>
      </c>
      <c r="AU21" s="133" t="n">
        <v>0</v>
      </c>
      <c r="AV21" s="133" t="n">
        <v>0</v>
      </c>
      <c r="AW21" s="133" t="n">
        <v>0</v>
      </c>
      <c r="AX21" s="133" t="n">
        <v>10000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Crypto and Banking Fees</t>
        </is>
      </c>
      <c r="B22" s="133" t="n">
        <v>0</v>
      </c>
      <c r="C22" s="133" t="n">
        <v>0</v>
      </c>
      <c r="D22" s="133" t="n">
        <v>0</v>
      </c>
      <c r="E22" s="133" t="n">
        <v>0</v>
      </c>
      <c r="F22" s="133" t="n">
        <v>0</v>
      </c>
      <c r="G22" s="133" t="n">
        <v>0</v>
      </c>
      <c r="H22" s="133" t="n">
        <v>0</v>
      </c>
      <c r="I22" s="133" t="n">
        <v>0</v>
      </c>
      <c r="J22" s="133" t="n">
        <v>0</v>
      </c>
      <c r="K22" s="133" t="n">
        <v>0</v>
      </c>
      <c r="L22" s="133" t="n">
        <v>2000</v>
      </c>
      <c r="M22" s="133" t="n">
        <v>2000</v>
      </c>
      <c r="N22" s="133" t="n">
        <v>2000</v>
      </c>
      <c r="O22" s="133" t="n">
        <v>2000</v>
      </c>
      <c r="P22" s="133" t="n">
        <v>2000</v>
      </c>
      <c r="Q22" s="133" t="n">
        <v>2000</v>
      </c>
      <c r="R22" s="133" t="n">
        <v>2000</v>
      </c>
      <c r="S22" s="133" t="n">
        <v>2000</v>
      </c>
      <c r="T22" s="133" t="n">
        <v>2000</v>
      </c>
      <c r="U22" s="133" t="n">
        <v>2000</v>
      </c>
      <c r="V22" s="133" t="n">
        <v>2000</v>
      </c>
      <c r="W22" s="133" t="n">
        <v>2000</v>
      </c>
      <c r="X22" s="133" t="n">
        <v>2000</v>
      </c>
      <c r="Y22" s="133" t="n">
        <v>2000</v>
      </c>
      <c r="Z22" s="133" t="n">
        <v>2000</v>
      </c>
      <c r="AA22" s="133" t="n">
        <v>2000</v>
      </c>
      <c r="AB22" s="133" t="n">
        <v>2000</v>
      </c>
      <c r="AC22" s="133" t="n">
        <v>2000</v>
      </c>
      <c r="AD22" s="133" t="n">
        <v>2000</v>
      </c>
      <c r="AE22" s="133" t="n">
        <v>2000</v>
      </c>
      <c r="AF22" s="133" t="n">
        <v>2000</v>
      </c>
      <c r="AG22" s="133" t="n">
        <v>2000</v>
      </c>
      <c r="AH22" s="133" t="n">
        <v>2000</v>
      </c>
      <c r="AI22" s="133" t="n">
        <v>2000</v>
      </c>
      <c r="AJ22" s="133" t="n">
        <v>2000</v>
      </c>
      <c r="AK22" s="133" t="n">
        <v>2000</v>
      </c>
      <c r="AL22" s="133" t="n">
        <v>2000</v>
      </c>
      <c r="AM22" s="133" t="n">
        <v>2000</v>
      </c>
      <c r="AN22" s="133" t="n">
        <v>2000</v>
      </c>
      <c r="AO22" s="133" t="n">
        <v>2000</v>
      </c>
      <c r="AP22" s="133" t="n">
        <v>2000</v>
      </c>
      <c r="AQ22" s="133" t="n">
        <v>2000</v>
      </c>
      <c r="AR22" s="133" t="n">
        <v>2000</v>
      </c>
      <c r="AS22" s="133" t="n">
        <v>2000</v>
      </c>
      <c r="AT22" s="133" t="n">
        <v>2000</v>
      </c>
      <c r="AU22" s="133" t="n">
        <v>2000</v>
      </c>
      <c r="AV22" s="133" t="n">
        <v>2000</v>
      </c>
      <c r="AW22" s="133" t="n">
        <v>2000</v>
      </c>
      <c r="AX22" s="133" t="n">
        <v>2000</v>
      </c>
      <c r="AY22" s="133" t="n">
        <v>2000</v>
      </c>
      <c r="AZ22" s="133" t="n">
        <v>2000</v>
      </c>
      <c r="BA22" s="133" t="n">
        <v>2000</v>
      </c>
      <c r="BB22" s="133" t="n">
        <v>2000</v>
      </c>
      <c r="BC22" s="133" t="n">
        <v>2000</v>
      </c>
      <c r="BD22" s="133" t="n">
        <v>2000</v>
      </c>
      <c r="BE22" s="133" t="n">
        <v>2000</v>
      </c>
      <c r="BF22" s="133" t="n">
        <v>2000</v>
      </c>
      <c r="BG22" s="133" t="n">
        <v>2000</v>
      </c>
      <c r="BH22" s="133" t="n">
        <v>2000</v>
      </c>
      <c r="BI22" s="133" t="n">
        <v>2000</v>
      </c>
    </row>
    <row r="23">
      <c r="A23" s="38" t="inlineStr">
        <is>
          <t>Exchange Listings</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25000</v>
      </c>
      <c r="AG23" s="133" t="n"/>
      <c r="AH23" s="133" t="n"/>
      <c r="AI23" s="133" t="n">
        <v>25000</v>
      </c>
      <c r="AJ23" s="133" t="n"/>
      <c r="AK23" s="133" t="n"/>
      <c r="AL23" s="133" t="n">
        <v>25000</v>
      </c>
      <c r="AM23" s="133" t="n"/>
      <c r="AN23" s="133" t="n"/>
      <c r="AO23" s="133" t="n">
        <v>25000</v>
      </c>
      <c r="AP23" s="133" t="n"/>
      <c r="AQ23" s="133" t="n"/>
      <c r="AR23" s="133" t="n"/>
      <c r="AS23" s="133" t="n"/>
      <c r="AT23" s="133" t="n"/>
      <c r="AU23" s="133" t="n"/>
      <c r="AV23" s="133" t="n"/>
      <c r="AW23" s="133" t="n"/>
      <c r="AX23" s="133" t="n"/>
      <c r="AY23" s="133" t="n"/>
      <c r="AZ23" s="133" t="n"/>
      <c r="BA23" s="133" t="n"/>
      <c r="BB23" s="133" t="n"/>
      <c r="BC23" s="133" t="n"/>
      <c r="BD23" s="133" t="n"/>
      <c r="BE23" s="133" t="n"/>
      <c r="BF23" s="133" t="n"/>
      <c r="BG23" s="133" t="n"/>
      <c r="BH23" s="133" t="n"/>
      <c r="BI23" s="133" t="n"/>
    </row>
    <row r="24">
      <c r="A24" s="38" t="inlineStr">
        <is>
          <t>Tech Infrastructure, Hardware, Software</t>
        </is>
      </c>
      <c r="B24" s="133" t="n">
        <v>0</v>
      </c>
      <c r="C24" s="133" t="n">
        <v>0</v>
      </c>
      <c r="D24" s="133" t="n">
        <v>0</v>
      </c>
      <c r="E24" s="133" t="n">
        <v>0</v>
      </c>
      <c r="F24" s="133" t="n">
        <v>0</v>
      </c>
      <c r="G24" s="133" t="n">
        <v>0</v>
      </c>
      <c r="H24" s="133" t="n">
        <v>0</v>
      </c>
      <c r="I24" s="133" t="n">
        <v>0</v>
      </c>
      <c r="J24" s="133" t="n">
        <v>0</v>
      </c>
      <c r="K24" s="133" t="n">
        <v>0</v>
      </c>
      <c r="L24" s="133" t="n">
        <v>0</v>
      </c>
      <c r="M24" s="133" t="n">
        <v>1000</v>
      </c>
      <c r="N24" s="133" t="n">
        <v>2500</v>
      </c>
      <c r="O24" s="133" t="n">
        <v>2500</v>
      </c>
      <c r="P24" s="133" t="n">
        <v>2500</v>
      </c>
      <c r="Q24" s="133" t="n">
        <v>2500</v>
      </c>
      <c r="R24" s="133" t="n">
        <v>2500</v>
      </c>
      <c r="S24" s="133" t="n">
        <v>2500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External Accounting Counsel</t>
        </is>
      </c>
      <c r="B25" s="133" t="n">
        <v>0</v>
      </c>
      <c r="C25" s="133" t="n">
        <v>0</v>
      </c>
      <c r="D25" s="133" t="n">
        <v>0</v>
      </c>
      <c r="E25" s="133" t="n">
        <v>0</v>
      </c>
      <c r="F25" s="133" t="n">
        <v>0</v>
      </c>
      <c r="G25" s="133" t="n">
        <v>0</v>
      </c>
      <c r="H25" s="133" t="n">
        <v>0</v>
      </c>
      <c r="I25" s="133" t="n">
        <v>0</v>
      </c>
      <c r="J25" s="133" t="n">
        <v>0</v>
      </c>
      <c r="K25" s="133" t="n">
        <v>0</v>
      </c>
      <c r="L25" s="133" t="n">
        <v>0</v>
      </c>
      <c r="M25" s="133" t="n">
        <v>0</v>
      </c>
      <c r="N25" s="133" t="n">
        <v>10000</v>
      </c>
      <c r="O25" s="133" t="n">
        <v>0</v>
      </c>
      <c r="P25" s="133" t="n">
        <v>0</v>
      </c>
      <c r="Q25" s="133" t="n">
        <v>0</v>
      </c>
      <c r="R25" s="133" t="n">
        <v>0</v>
      </c>
      <c r="S25" s="133" t="n">
        <v>0</v>
      </c>
      <c r="T25" s="133" t="n">
        <v>0</v>
      </c>
      <c r="U25" s="133" t="n">
        <v>0</v>
      </c>
      <c r="V25" s="133" t="n">
        <v>0</v>
      </c>
      <c r="W25" s="133" t="n">
        <v>0</v>
      </c>
      <c r="X25" s="133" t="n">
        <v>0</v>
      </c>
      <c r="Y25" s="133" t="n">
        <v>0</v>
      </c>
      <c r="Z25" s="133" t="n">
        <v>10000</v>
      </c>
      <c r="AA25" s="133" t="n">
        <v>0</v>
      </c>
      <c r="AB25" s="133" t="n">
        <v>0</v>
      </c>
      <c r="AC25" s="133" t="n">
        <v>0</v>
      </c>
      <c r="AD25" s="133" t="n">
        <v>0</v>
      </c>
      <c r="AE25" s="133" t="n">
        <v>0</v>
      </c>
      <c r="AF25" s="133" t="n">
        <v>0</v>
      </c>
      <c r="AG25" s="133" t="n">
        <v>0</v>
      </c>
      <c r="AH25" s="133" t="n">
        <v>0</v>
      </c>
      <c r="AI25" s="133" t="n">
        <v>0</v>
      </c>
      <c r="AJ25" s="133" t="n">
        <v>0</v>
      </c>
      <c r="AK25" s="133" t="n">
        <v>0</v>
      </c>
      <c r="AL25" s="133" t="n">
        <v>10000</v>
      </c>
      <c r="AM25" s="133" t="n">
        <v>0</v>
      </c>
      <c r="AN25" s="133" t="n">
        <v>0</v>
      </c>
      <c r="AO25" s="133" t="n">
        <v>0</v>
      </c>
      <c r="AP25" s="133" t="n">
        <v>0</v>
      </c>
      <c r="AQ25" s="133" t="n">
        <v>0</v>
      </c>
      <c r="AR25" s="133" t="n">
        <v>0</v>
      </c>
      <c r="AS25" s="133" t="n">
        <v>0</v>
      </c>
      <c r="AT25" s="133" t="n">
        <v>0</v>
      </c>
      <c r="AU25" s="133" t="n">
        <v>0</v>
      </c>
      <c r="AV25" s="133" t="n">
        <v>0</v>
      </c>
      <c r="AW25" s="133" t="n">
        <v>0</v>
      </c>
      <c r="AX25" s="133" t="n">
        <v>10000</v>
      </c>
      <c r="AY25" s="133" t="n">
        <v>0</v>
      </c>
      <c r="AZ25" s="133" t="n">
        <v>0</v>
      </c>
      <c r="BA25" s="133" t="n">
        <v>0</v>
      </c>
      <c r="BB25" s="133" t="n">
        <v>0</v>
      </c>
      <c r="BC25" s="133" t="n">
        <v>0</v>
      </c>
      <c r="BD25" s="133" t="n">
        <v>0</v>
      </c>
      <c r="BE25" s="133" t="n">
        <v>0</v>
      </c>
      <c r="BF25" s="133" t="n">
        <v>0</v>
      </c>
      <c r="BG25" s="133" t="n">
        <v>0</v>
      </c>
      <c r="BH25" s="133" t="n">
        <v>0</v>
      </c>
      <c r="BI25" s="133" t="n">
        <v>0</v>
      </c>
    </row>
    <row r="26">
      <c r="A26" s="38" t="inlineStr">
        <is>
          <t>Insurance (general, D&amp;O)</t>
        </is>
      </c>
      <c r="B26" s="133" t="n">
        <v>0</v>
      </c>
      <c r="C26" s="133" t="n">
        <v>0</v>
      </c>
      <c r="D26" s="133" t="n">
        <v>0</v>
      </c>
      <c r="E26" s="133" t="n">
        <v>0</v>
      </c>
      <c r="F26" s="133" t="n">
        <v>0</v>
      </c>
      <c r="G26" s="133" t="n">
        <v>0</v>
      </c>
      <c r="H26" s="133" t="n">
        <v>0</v>
      </c>
      <c r="I26" s="133" t="n">
        <v>0</v>
      </c>
      <c r="J26" s="133" t="n">
        <v>0</v>
      </c>
      <c r="K26" s="133" t="n">
        <v>0</v>
      </c>
      <c r="L26" s="133" t="n">
        <v>200</v>
      </c>
      <c r="M26" s="133" t="n">
        <v>200</v>
      </c>
      <c r="N26" s="133" t="n">
        <v>200</v>
      </c>
      <c r="O26" s="133" t="n">
        <v>200</v>
      </c>
      <c r="P26" s="133" t="n">
        <v>200</v>
      </c>
      <c r="Q26" s="133" t="n">
        <v>200</v>
      </c>
      <c r="R26" s="133" t="n">
        <v>200</v>
      </c>
      <c r="S26" s="133" t="n">
        <v>200</v>
      </c>
      <c r="T26" s="133" t="n">
        <v>200</v>
      </c>
      <c r="U26" s="133" t="n">
        <v>200</v>
      </c>
      <c r="V26" s="133" t="n">
        <v>200</v>
      </c>
      <c r="W26" s="133" t="n">
        <v>200</v>
      </c>
      <c r="X26" s="133" t="n">
        <v>200</v>
      </c>
      <c r="Y26" s="133" t="n">
        <v>200</v>
      </c>
      <c r="Z26" s="133" t="n">
        <v>200</v>
      </c>
      <c r="AA26" s="133" t="n">
        <v>200</v>
      </c>
      <c r="AB26" s="133" t="n">
        <v>200</v>
      </c>
      <c r="AC26" s="133" t="n">
        <v>200</v>
      </c>
      <c r="AD26" s="133" t="n">
        <v>200</v>
      </c>
      <c r="AE26" s="133" t="n">
        <v>200</v>
      </c>
      <c r="AF26" s="133" t="n">
        <v>200</v>
      </c>
      <c r="AG26" s="133" t="n">
        <v>200</v>
      </c>
      <c r="AH26" s="133" t="n">
        <v>200</v>
      </c>
      <c r="AI26" s="133" t="n">
        <v>200</v>
      </c>
      <c r="AJ26" s="133" t="n">
        <v>200</v>
      </c>
      <c r="AK26" s="133" t="n">
        <v>200</v>
      </c>
      <c r="AL26" s="133" t="n">
        <v>200</v>
      </c>
      <c r="AM26" s="133" t="n">
        <v>200</v>
      </c>
      <c r="AN26" s="133" t="n">
        <v>200</v>
      </c>
      <c r="AO26" s="133" t="n">
        <v>200</v>
      </c>
      <c r="AP26" s="133" t="n">
        <v>200</v>
      </c>
      <c r="AQ26" s="133" t="n">
        <v>200</v>
      </c>
      <c r="AR26" s="133" t="n">
        <v>200</v>
      </c>
      <c r="AS26" s="133" t="n">
        <v>200</v>
      </c>
      <c r="AT26" s="133" t="n">
        <v>200</v>
      </c>
      <c r="AU26" s="133" t="n">
        <v>200</v>
      </c>
      <c r="AV26" s="133" t="n">
        <v>200</v>
      </c>
      <c r="AW26" s="133" t="n">
        <v>200</v>
      </c>
      <c r="AX26" s="133" t="n">
        <v>200</v>
      </c>
      <c r="AY26" s="133" t="n">
        <v>200</v>
      </c>
      <c r="AZ26" s="133" t="n">
        <v>200</v>
      </c>
      <c r="BA26" s="133" t="n">
        <v>200</v>
      </c>
      <c r="BB26" s="133" t="n">
        <v>200</v>
      </c>
      <c r="BC26" s="133" t="n">
        <v>200</v>
      </c>
      <c r="BD26" s="133" t="n">
        <v>200</v>
      </c>
      <c r="BE26" s="133" t="n">
        <v>200</v>
      </c>
      <c r="BF26" s="133" t="n">
        <v>200</v>
      </c>
      <c r="BG26" s="133" t="n">
        <v>200</v>
      </c>
      <c r="BH26" s="133" t="n">
        <v>200</v>
      </c>
      <c r="BI26" s="133" t="n">
        <v>200</v>
      </c>
    </row>
    <row r="27">
      <c r="A27" s="38" t="inlineStr">
        <is>
          <t>Cybersec Monitoring, Audits, etc.</t>
        </is>
      </c>
      <c r="B27" s="133" t="n">
        <v>0</v>
      </c>
      <c r="C27" s="133" t="n">
        <v>0</v>
      </c>
      <c r="D27" s="133" t="n">
        <v>0</v>
      </c>
      <c r="E27" s="133" t="n">
        <v>0</v>
      </c>
      <c r="F27" s="133" t="n">
        <v>0</v>
      </c>
      <c r="G27" s="133" t="n">
        <v>0</v>
      </c>
      <c r="H27" s="133" t="n">
        <v>0</v>
      </c>
      <c r="I27" s="133" t="n">
        <v>0</v>
      </c>
      <c r="J27" s="133" t="n">
        <v>0</v>
      </c>
      <c r="K27" s="133" t="n">
        <v>0</v>
      </c>
      <c r="L27" s="133" t="n">
        <v>250</v>
      </c>
      <c r="M27" s="133" t="n">
        <v>250</v>
      </c>
      <c r="N27" s="133" t="n">
        <v>250</v>
      </c>
      <c r="O27" s="133" t="n">
        <v>250</v>
      </c>
      <c r="P27" s="133" t="n">
        <v>250</v>
      </c>
      <c r="Q27" s="133" t="n">
        <v>250</v>
      </c>
      <c r="R27" s="133" t="n">
        <v>250</v>
      </c>
      <c r="S27" s="133" t="n">
        <v>250</v>
      </c>
      <c r="T27" s="133" t="n">
        <v>250</v>
      </c>
      <c r="U27" s="133" t="n">
        <v>250</v>
      </c>
      <c r="V27" s="133" t="n">
        <v>250</v>
      </c>
      <c r="W27" s="133" t="n">
        <v>250</v>
      </c>
      <c r="X27" s="133" t="n">
        <v>250</v>
      </c>
      <c r="Y27" s="133" t="n">
        <v>250</v>
      </c>
      <c r="Z27" s="133" t="n">
        <v>5000</v>
      </c>
      <c r="AA27" s="133" t="n">
        <v>250</v>
      </c>
      <c r="AB27" s="133" t="n">
        <v>250</v>
      </c>
      <c r="AC27" s="133" t="n">
        <v>250</v>
      </c>
      <c r="AD27" s="133" t="n">
        <v>250</v>
      </c>
      <c r="AE27" s="133" t="n">
        <v>250</v>
      </c>
      <c r="AF27" s="133" t="n">
        <v>250</v>
      </c>
      <c r="AG27" s="133" t="n">
        <v>250</v>
      </c>
      <c r="AH27" s="133" t="n">
        <v>250</v>
      </c>
      <c r="AI27" s="133" t="n">
        <v>250</v>
      </c>
      <c r="AJ27" s="133" t="n">
        <v>250</v>
      </c>
      <c r="AK27" s="133" t="n">
        <v>250</v>
      </c>
      <c r="AL27" s="133" t="n">
        <v>5000</v>
      </c>
      <c r="AM27" s="133" t="n">
        <v>250</v>
      </c>
      <c r="AN27" s="133" t="n">
        <v>250</v>
      </c>
      <c r="AO27" s="133" t="n">
        <v>250</v>
      </c>
      <c r="AP27" s="133" t="n">
        <v>250</v>
      </c>
      <c r="AQ27" s="133" t="n">
        <v>250</v>
      </c>
      <c r="AR27" s="133" t="n">
        <v>250</v>
      </c>
      <c r="AS27" s="133" t="n">
        <v>250</v>
      </c>
      <c r="AT27" s="133" t="n">
        <v>250</v>
      </c>
      <c r="AU27" s="133" t="n">
        <v>250</v>
      </c>
      <c r="AV27" s="133" t="n">
        <v>250</v>
      </c>
      <c r="AW27" s="133" t="n">
        <v>250</v>
      </c>
      <c r="AX27" s="133" t="n">
        <v>5000</v>
      </c>
      <c r="AY27" s="133" t="n">
        <v>250</v>
      </c>
      <c r="AZ27" s="133" t="n">
        <v>250</v>
      </c>
      <c r="BA27" s="133" t="n">
        <v>250</v>
      </c>
      <c r="BB27" s="133" t="n">
        <v>250</v>
      </c>
      <c r="BC27" s="133" t="n">
        <v>250</v>
      </c>
      <c r="BD27" s="133" t="n">
        <v>250</v>
      </c>
      <c r="BE27" s="133" t="n">
        <v>250</v>
      </c>
      <c r="BF27" s="133" t="n">
        <v>250</v>
      </c>
      <c r="BG27" s="133" t="n">
        <v>250</v>
      </c>
      <c r="BH27" s="133" t="n">
        <v>250</v>
      </c>
      <c r="BI27" s="133" t="n">
        <v>250</v>
      </c>
    </row>
    <row r="28">
      <c r="A28" s="38" t="inlineStr">
        <is>
          <t>Redemption Costs (cash or bullion)</t>
        </is>
      </c>
      <c r="B28" s="133" t="n">
        <v>0</v>
      </c>
      <c r="C28" s="133" t="n">
        <v>0</v>
      </c>
      <c r="D28" s="133" t="n">
        <v>0</v>
      </c>
      <c r="E28" s="133" t="n">
        <v>0</v>
      </c>
      <c r="F28" s="133" t="n">
        <v>0</v>
      </c>
      <c r="G28" s="133" t="n">
        <v>0</v>
      </c>
      <c r="H28" s="133" t="n">
        <v>0</v>
      </c>
      <c r="I28" s="133" t="n">
        <v>0</v>
      </c>
      <c r="J28" s="133" t="n">
        <v>0</v>
      </c>
      <c r="K28" s="133" t="n">
        <v>0</v>
      </c>
      <c r="L28" s="133" t="n">
        <v>0</v>
      </c>
      <c r="M28" s="133" t="n">
        <v>0</v>
      </c>
      <c r="N28" s="133">
        <f>'Token Supply (5yr)'!N45</f>
        <v/>
      </c>
      <c r="O28" s="133">
        <f>'Token Supply (5yr)'!O45</f>
        <v/>
      </c>
      <c r="P28" s="133">
        <f>'Token Supply (5yr)'!P45</f>
        <v/>
      </c>
      <c r="Q28" s="133">
        <f>'Token Supply (5yr)'!Q45</f>
        <v/>
      </c>
      <c r="R28" s="133">
        <f>'Token Supply (5yr)'!R45</f>
        <v/>
      </c>
      <c r="S28" s="133">
        <f>'Token Supply (5yr)'!S45</f>
        <v/>
      </c>
      <c r="T28" s="133">
        <f>'Token Supply (5yr)'!T45</f>
        <v/>
      </c>
      <c r="U28" s="133">
        <f>'Token Supply (5yr)'!U45</f>
        <v/>
      </c>
      <c r="V28" s="133">
        <f>'Token Supply (5yr)'!V45</f>
        <v/>
      </c>
      <c r="W28" s="133">
        <f>'Token Supply (5yr)'!W45</f>
        <v/>
      </c>
      <c r="X28" s="133">
        <f>'Token Supply (5yr)'!X45</f>
        <v/>
      </c>
      <c r="Y28" s="133">
        <f>'Token Supply (5yr)'!Y45</f>
        <v/>
      </c>
      <c r="Z28" s="133">
        <f>'Token Supply (5yr)'!Z45</f>
        <v/>
      </c>
      <c r="AA28" s="133">
        <f>'Token Supply (5yr)'!AA45</f>
        <v/>
      </c>
      <c r="AB28" s="133">
        <f>'Token Supply (5yr)'!AB45</f>
        <v/>
      </c>
      <c r="AC28" s="133">
        <f>'Token Supply (5yr)'!AC45</f>
        <v/>
      </c>
      <c r="AD28" s="133">
        <f>'Token Supply (5yr)'!AD45</f>
        <v/>
      </c>
      <c r="AE28" s="133">
        <f>'Token Supply (5yr)'!AE45</f>
        <v/>
      </c>
      <c r="AF28" s="133">
        <f>'Token Supply (5yr)'!AF45</f>
        <v/>
      </c>
      <c r="AG28" s="133">
        <f>'Token Supply (5yr)'!AG45</f>
        <v/>
      </c>
      <c r="AH28" s="133">
        <f>'Token Supply (5yr)'!AH45</f>
        <v/>
      </c>
      <c r="AI28" s="133">
        <f>'Token Supply (5yr)'!AI45</f>
        <v/>
      </c>
      <c r="AJ28" s="133">
        <f>'Token Supply (5yr)'!AJ45</f>
        <v/>
      </c>
      <c r="AK28" s="133">
        <f>'Token Supply (5yr)'!AK45</f>
        <v/>
      </c>
      <c r="AL28" s="133">
        <f>'Token Supply (5yr)'!AL45</f>
        <v/>
      </c>
      <c r="AM28" s="133">
        <f>'Token Supply (5yr)'!AM45</f>
        <v/>
      </c>
      <c r="AN28" s="133">
        <f>'Token Supply (5yr)'!AN45</f>
        <v/>
      </c>
      <c r="AO28" s="133">
        <f>'Token Supply (5yr)'!AO45</f>
        <v/>
      </c>
      <c r="AP28" s="133">
        <f>'Token Supply (5yr)'!AP45</f>
        <v/>
      </c>
      <c r="AQ28" s="133">
        <f>'Token Supply (5yr)'!AQ45</f>
        <v/>
      </c>
      <c r="AR28" s="133">
        <f>'Token Supply (5yr)'!AR45</f>
        <v/>
      </c>
      <c r="AS28" s="133">
        <f>'Token Supply (5yr)'!AS45</f>
        <v/>
      </c>
      <c r="AT28" s="133">
        <f>'Token Supply (5yr)'!AT45</f>
        <v/>
      </c>
      <c r="AU28" s="133">
        <f>'Token Supply (5yr)'!AU45</f>
        <v/>
      </c>
      <c r="AV28" s="133">
        <f>'Token Supply (5yr)'!AV45</f>
        <v/>
      </c>
      <c r="AW28" s="133">
        <f>'Token Supply (5yr)'!AW45</f>
        <v/>
      </c>
      <c r="AX28" s="133">
        <f>'Token Supply (5yr)'!AX45</f>
        <v/>
      </c>
      <c r="AY28" s="133">
        <f>'Token Supply (5yr)'!AY45</f>
        <v/>
      </c>
      <c r="AZ28" s="133">
        <f>'Token Supply (5yr)'!AZ45</f>
        <v/>
      </c>
      <c r="BA28" s="133">
        <f>'Token Supply (5yr)'!BA45</f>
        <v/>
      </c>
      <c r="BB28" s="133">
        <f>'Token Supply (5yr)'!BB45</f>
        <v/>
      </c>
      <c r="BC28" s="133">
        <f>'Token Supply (5yr)'!BC45</f>
        <v/>
      </c>
      <c r="BD28" s="133">
        <f>'Token Supply (5yr)'!BD45</f>
        <v/>
      </c>
      <c r="BE28" s="133">
        <f>'Token Supply (5yr)'!BE45</f>
        <v/>
      </c>
      <c r="BF28" s="133">
        <f>'Token Supply (5yr)'!BF45</f>
        <v/>
      </c>
      <c r="BG28" s="133">
        <f>'Token Supply (5yr)'!BG45</f>
        <v/>
      </c>
      <c r="BH28" s="133">
        <f>'Token Supply (5yr)'!BH45</f>
        <v/>
      </c>
      <c r="BI28" s="133">
        <f>'Token Supply (5yr)'!BI45</f>
        <v/>
      </c>
    </row>
    <row r="29">
      <c r="A29" s="38" t="inlineStr">
        <is>
          <t>Health + Payroll + Taxes</t>
        </is>
      </c>
      <c r="B29" s="133" t="n">
        <v>0</v>
      </c>
      <c r="C29" s="133" t="n">
        <v>0</v>
      </c>
      <c r="D29" s="133" t="n">
        <v>0</v>
      </c>
      <c r="E29" s="133" t="n">
        <v>0</v>
      </c>
      <c r="F29" s="133" t="n">
        <v>0</v>
      </c>
      <c r="G29" s="133" t="n">
        <v>0</v>
      </c>
      <c r="H29" s="133">
        <f>H8*0.25</f>
        <v/>
      </c>
      <c r="I29" s="133">
        <f>I8*0.25</f>
        <v/>
      </c>
      <c r="J29" s="133">
        <f>J8*0.25</f>
        <v/>
      </c>
      <c r="K29" s="133">
        <f>K8*0.25</f>
        <v/>
      </c>
      <c r="L29" s="133">
        <f>L8*0.25</f>
        <v/>
      </c>
      <c r="M29" s="133">
        <f>M8*0.25</f>
        <v/>
      </c>
      <c r="N29" s="133">
        <f>N8*0.25</f>
        <v/>
      </c>
      <c r="O29" s="133">
        <f>O8*0.25</f>
        <v/>
      </c>
      <c r="P29" s="133">
        <f>P8*0.25</f>
        <v/>
      </c>
      <c r="Q29" s="133">
        <f>Q8*0.25</f>
        <v/>
      </c>
      <c r="R29" s="133">
        <f>R8*0.25</f>
        <v/>
      </c>
      <c r="S29" s="133">
        <f>S8*0.25</f>
        <v/>
      </c>
      <c r="T29" s="133">
        <f>T8*0.25</f>
        <v/>
      </c>
      <c r="U29" s="133">
        <f>U8*0.25</f>
        <v/>
      </c>
      <c r="V29" s="133">
        <f>V8*0.25</f>
        <v/>
      </c>
      <c r="W29" s="133">
        <f>W8*0.25</f>
        <v/>
      </c>
      <c r="X29" s="133">
        <f>X8*0.25</f>
        <v/>
      </c>
      <c r="Y29" s="133">
        <f>Y8*0.25</f>
        <v/>
      </c>
      <c r="Z29" s="133">
        <f>Z8*0.25</f>
        <v/>
      </c>
      <c r="AA29" s="133">
        <f>AA8*0.25</f>
        <v/>
      </c>
      <c r="AB29" s="133">
        <f>AB8*0.25</f>
        <v/>
      </c>
      <c r="AC29" s="133">
        <f>AC8*0.25</f>
        <v/>
      </c>
      <c r="AD29" s="133">
        <f>AD8*0.25</f>
        <v/>
      </c>
      <c r="AE29" s="133">
        <f>AE8*0.25</f>
        <v/>
      </c>
      <c r="AF29" s="133">
        <f>AF8*0.25</f>
        <v/>
      </c>
      <c r="AG29" s="133">
        <f>AG8*0.25</f>
        <v/>
      </c>
      <c r="AH29" s="133">
        <f>AH8*0.25</f>
        <v/>
      </c>
      <c r="AI29" s="133">
        <f>AI8*0.25</f>
        <v/>
      </c>
      <c r="AJ29" s="133">
        <f>AJ8*0.25</f>
        <v/>
      </c>
      <c r="AK29" s="133">
        <f>AK8*0.25</f>
        <v/>
      </c>
      <c r="AL29" s="133">
        <f>AL8*0.25</f>
        <v/>
      </c>
      <c r="AM29" s="133">
        <f>AM8*0.25</f>
        <v/>
      </c>
      <c r="AN29" s="133">
        <f>AN8*0.25</f>
        <v/>
      </c>
      <c r="AO29" s="133">
        <f>AO8*0.25</f>
        <v/>
      </c>
      <c r="AP29" s="133">
        <f>AP8*0.25</f>
        <v/>
      </c>
      <c r="AQ29" s="133">
        <f>AQ8*0.25</f>
        <v/>
      </c>
      <c r="AR29" s="133">
        <f>AR8*0.25</f>
        <v/>
      </c>
      <c r="AS29" s="133">
        <f>AS8*0.25</f>
        <v/>
      </c>
      <c r="AT29" s="133">
        <f>AT8*0.25</f>
        <v/>
      </c>
      <c r="AU29" s="133">
        <f>AU8*0.25</f>
        <v/>
      </c>
      <c r="AV29" s="133">
        <f>AV8*0.25</f>
        <v/>
      </c>
      <c r="AW29" s="133">
        <f>AW8*0.25</f>
        <v/>
      </c>
      <c r="AX29" s="133">
        <f>AX8*0.25</f>
        <v/>
      </c>
      <c r="AY29" s="133">
        <f>AY8*0.25</f>
        <v/>
      </c>
      <c r="AZ29" s="133">
        <f>AZ8*0.25</f>
        <v/>
      </c>
      <c r="BA29" s="133">
        <f>BA8*0.25</f>
        <v/>
      </c>
      <c r="BB29" s="133">
        <f>BB8*0.25</f>
        <v/>
      </c>
      <c r="BC29" s="133">
        <f>BC8*0.25</f>
        <v/>
      </c>
      <c r="BD29" s="133">
        <f>BD8*0.25</f>
        <v/>
      </c>
      <c r="BE29" s="133">
        <f>BE8*0.25</f>
        <v/>
      </c>
      <c r="BF29" s="133">
        <f>BF8*0.25</f>
        <v/>
      </c>
      <c r="BG29" s="133">
        <f>BG8*0.25</f>
        <v/>
      </c>
      <c r="BH29" s="133">
        <f>BH8*0.25</f>
        <v/>
      </c>
      <c r="BI29" s="133">
        <f>BI8*0.25</f>
        <v/>
      </c>
    </row>
    <row r="30">
      <c r="A30" s="38" t="inlineStr">
        <is>
          <t>Contingency (10%)</t>
        </is>
      </c>
      <c r="B30" s="133" t="n">
        <v>0</v>
      </c>
      <c r="C30" s="133" t="n">
        <v>0</v>
      </c>
      <c r="D30" s="133" t="n">
        <v>0</v>
      </c>
      <c r="E30" s="133" t="n">
        <v>0</v>
      </c>
      <c r="F30" s="133" t="n">
        <v>0</v>
      </c>
      <c r="G30" s="133" t="n">
        <v>0</v>
      </c>
      <c r="H30" s="133">
        <f>sum(H11:H29)*0.1</f>
        <v/>
      </c>
      <c r="I30" s="133">
        <f>sum(I11:I29)*0.1</f>
        <v/>
      </c>
      <c r="J30" s="133">
        <f>sum(J11:J29)*0.1</f>
        <v/>
      </c>
      <c r="K30" s="133">
        <f>sum(K11:K29)*0.1</f>
        <v/>
      </c>
      <c r="L30" s="133">
        <f>sum(L11:L29)*0.1</f>
        <v/>
      </c>
      <c r="M30" s="133">
        <f>sum(M11:M29)*0.1</f>
        <v/>
      </c>
      <c r="N30" s="133">
        <f>sum(N11:N29)*0.1</f>
        <v/>
      </c>
      <c r="O30" s="133">
        <f>sum(O11:O29)*0.1</f>
        <v/>
      </c>
      <c r="P30" s="133">
        <f>sum(P11:P29)*0.1</f>
        <v/>
      </c>
      <c r="Q30" s="133">
        <f>sum(Q11:Q29)*0.1</f>
        <v/>
      </c>
      <c r="R30" s="133">
        <f>sum(R11:R29)*0.1</f>
        <v/>
      </c>
      <c r="S30" s="133">
        <f>sum(S11:S29)*0.1</f>
        <v/>
      </c>
      <c r="T30" s="133">
        <f>sum(T11:T29)*0.1</f>
        <v/>
      </c>
      <c r="U30" s="133">
        <f>sum(U11:U29)*0.1</f>
        <v/>
      </c>
      <c r="V30" s="133">
        <f>sum(V11:V29)*0.1</f>
        <v/>
      </c>
      <c r="W30" s="133">
        <f>sum(W11:W29)*0.1</f>
        <v/>
      </c>
      <c r="X30" s="133">
        <f>sum(X11:X29)*0.1</f>
        <v/>
      </c>
      <c r="Y30" s="133">
        <f>sum(Y11:Y29)*0.1</f>
        <v/>
      </c>
      <c r="Z30" s="133">
        <f>sum(Z11:Z29)*0.1</f>
        <v/>
      </c>
      <c r="AA30" s="133">
        <f>sum(AA11:AA29)*0.1</f>
        <v/>
      </c>
      <c r="AB30" s="133">
        <f>sum(AB11:AB29)*0.1</f>
        <v/>
      </c>
      <c r="AC30" s="133">
        <f>sum(AC11:AC29)*0.1</f>
        <v/>
      </c>
      <c r="AD30" s="133">
        <f>sum(AD11:AD29)*0.1</f>
        <v/>
      </c>
      <c r="AE30" s="133">
        <f>sum(AE11:AE29)*0.1</f>
        <v/>
      </c>
      <c r="AF30" s="133">
        <f>sum(AF11:AF29)*0.1</f>
        <v/>
      </c>
      <c r="AG30" s="133">
        <f>sum(AG11:AG29)*0.1</f>
        <v/>
      </c>
      <c r="AH30" s="133">
        <f>sum(AH11:AH29)*0.1</f>
        <v/>
      </c>
      <c r="AI30" s="133">
        <f>sum(AI11:AI29)*0.1</f>
        <v/>
      </c>
      <c r="AJ30" s="133">
        <f>sum(AJ11:AJ29)*0.1</f>
        <v/>
      </c>
      <c r="AK30" s="133">
        <f>sum(AK11:AK29)*0.1</f>
        <v/>
      </c>
      <c r="AL30" s="133">
        <f>sum(AL11:AL29)*0.1</f>
        <v/>
      </c>
      <c r="AM30" s="133">
        <f>sum(AM11:AM29)*0.1</f>
        <v/>
      </c>
      <c r="AN30" s="133">
        <f>sum(AN11:AN29)*0.1</f>
        <v/>
      </c>
      <c r="AO30" s="133">
        <f>sum(AO11:AO29)*0.1</f>
        <v/>
      </c>
      <c r="AP30" s="133">
        <f>sum(AP11:AP29)*0.1</f>
        <v/>
      </c>
      <c r="AQ30" s="133">
        <f>sum(AQ11:AQ29)*0.1</f>
        <v/>
      </c>
      <c r="AR30" s="133">
        <f>sum(AR11:AR29)*0.1</f>
        <v/>
      </c>
      <c r="AS30" s="133">
        <f>sum(AS11:AS29)*0.1</f>
        <v/>
      </c>
      <c r="AT30" s="133">
        <f>sum(AT11:AT29)*0.1</f>
        <v/>
      </c>
      <c r="AU30" s="133">
        <f>sum(AU11:AU29)*0.1</f>
        <v/>
      </c>
      <c r="AV30" s="133">
        <f>sum(AV11:AV29)*0.1</f>
        <v/>
      </c>
      <c r="AW30" s="133">
        <f>sum(AW11:AW29)*0.1</f>
        <v/>
      </c>
      <c r="AX30" s="133">
        <f>sum(AX11:AX29)*0.1</f>
        <v/>
      </c>
      <c r="AY30" s="133">
        <f>sum(AY11:AY29)*0.1</f>
        <v/>
      </c>
      <c r="AZ30" s="133">
        <f>sum(AZ11:AZ29)*0.1</f>
        <v/>
      </c>
      <c r="BA30" s="133">
        <f>sum(BA11:BA29)*0.1</f>
        <v/>
      </c>
      <c r="BB30" s="133">
        <f>sum(BB11:BB29)*0.1</f>
        <v/>
      </c>
      <c r="BC30" s="133">
        <f>sum(BC11:BC29)*0.1</f>
        <v/>
      </c>
      <c r="BD30" s="133">
        <f>sum(BD11:BD29)*0.1</f>
        <v/>
      </c>
      <c r="BE30" s="133">
        <f>sum(BE11:BE29)*0.1</f>
        <v/>
      </c>
      <c r="BF30" s="133">
        <f>sum(BF11:BF29)*0.1</f>
        <v/>
      </c>
      <c r="BG30" s="133">
        <f>sum(BG11:BG29)*0.1</f>
        <v/>
      </c>
      <c r="BH30" s="133">
        <f>sum(BH11:BH29)*0.1</f>
        <v/>
      </c>
      <c r="BI30" s="133">
        <f>sum(BI11:BI29)*0.1</f>
        <v/>
      </c>
    </row>
    <row r="31">
      <c r="A31" s="108" t="inlineStr">
        <is>
          <t>Total Expenditures</t>
        </is>
      </c>
      <c r="B31" s="133" t="n">
        <v>0</v>
      </c>
      <c r="C31" s="133" t="n">
        <v>0</v>
      </c>
      <c r="D31" s="133" t="n">
        <v>0</v>
      </c>
      <c r="E31" s="133" t="n">
        <v>0</v>
      </c>
      <c r="F31" s="133" t="n">
        <v>0</v>
      </c>
      <c r="G31" s="133" t="n">
        <v>0</v>
      </c>
      <c r="H31" s="261">
        <f>SUM(H11:H30)</f>
        <v/>
      </c>
      <c r="I31" s="261">
        <f>SUM(I11:I30)</f>
        <v/>
      </c>
      <c r="J31" s="261">
        <f>SUM(J11:J30)</f>
        <v/>
      </c>
      <c r="K31" s="261">
        <f>SUM(K11:K30)</f>
        <v/>
      </c>
      <c r="L31" s="261">
        <f>SUM(L11:L30)</f>
        <v/>
      </c>
      <c r="M31" s="261">
        <f>SUM(M11:M30)</f>
        <v/>
      </c>
      <c r="N31" s="261">
        <f>SUM(N11:N30)</f>
        <v/>
      </c>
      <c r="O31" s="261">
        <f>SUM(O11:O30)</f>
        <v/>
      </c>
      <c r="P31" s="261">
        <f>SUM(P11:P30)</f>
        <v/>
      </c>
      <c r="Q31" s="261">
        <f>SUM(Q11:Q30)</f>
        <v/>
      </c>
      <c r="R31" s="261">
        <f>SUM(R11:R30)</f>
        <v/>
      </c>
      <c r="S31" s="261">
        <f>SUM(S11:S30)</f>
        <v/>
      </c>
      <c r="T31" s="261">
        <f>SUM(T11:T30)</f>
        <v/>
      </c>
      <c r="U31" s="261">
        <f>SUM(U11:U30)</f>
        <v/>
      </c>
      <c r="V31" s="261">
        <f>SUM(V11:V30)</f>
        <v/>
      </c>
      <c r="W31" s="261">
        <f>SUM(W11:W30)</f>
        <v/>
      </c>
      <c r="X31" s="261">
        <f>SUM(X11:X30)</f>
        <v/>
      </c>
      <c r="Y31" s="261">
        <f>SUM(Y11:Y30)</f>
        <v/>
      </c>
      <c r="Z31" s="261">
        <f>SUM(Z11:Z30)</f>
        <v/>
      </c>
      <c r="AA31" s="261">
        <f>SUM(AA11:AA30)</f>
        <v/>
      </c>
      <c r="AB31" s="261">
        <f>SUM(AB11:AB30)</f>
        <v/>
      </c>
      <c r="AC31" s="261">
        <f>SUM(AC11:AC30)</f>
        <v/>
      </c>
      <c r="AD31" s="261">
        <f>SUM(AD11:AD30)</f>
        <v/>
      </c>
      <c r="AE31" s="261">
        <f>SUM(AE11:AE30)</f>
        <v/>
      </c>
      <c r="AF31" s="261">
        <f>SUM(AF11:AF30)</f>
        <v/>
      </c>
      <c r="AG31" s="261">
        <f>SUM(AG11:AG30)</f>
        <v/>
      </c>
      <c r="AH31" s="261">
        <f>SUM(AH11:AH30)</f>
        <v/>
      </c>
      <c r="AI31" s="261">
        <f>SUM(AI11:AI30)</f>
        <v/>
      </c>
      <c r="AJ31" s="261">
        <f>SUM(AJ11:AJ30)</f>
        <v/>
      </c>
      <c r="AK31" s="261">
        <f>SUM(AK11:AK30)</f>
        <v/>
      </c>
      <c r="AL31" s="261">
        <f>SUM(AL11:AL30)</f>
        <v/>
      </c>
      <c r="AM31" s="261">
        <f>SUM(AM11:AM30)</f>
        <v/>
      </c>
      <c r="AN31" s="261">
        <f>SUM(AN11:AN30)</f>
        <v/>
      </c>
      <c r="AO31" s="261">
        <f>SUM(AO11:AO30)</f>
        <v/>
      </c>
      <c r="AP31" s="261">
        <f>SUM(AP11:AP30)</f>
        <v/>
      </c>
      <c r="AQ31" s="261">
        <f>SUM(AQ11:AQ30)</f>
        <v/>
      </c>
      <c r="AR31" s="261">
        <f>SUM(AR11:AR30)</f>
        <v/>
      </c>
      <c r="AS31" s="261">
        <f>SUM(AS11:AS30)</f>
        <v/>
      </c>
      <c r="AT31" s="261">
        <f>SUM(AT11:AT30)</f>
        <v/>
      </c>
      <c r="AU31" s="261">
        <f>SUM(AU11:AU30)</f>
        <v/>
      </c>
      <c r="AV31" s="261">
        <f>SUM(AV11:AV30)</f>
        <v/>
      </c>
      <c r="AW31" s="261">
        <f>SUM(AW11:AW30)</f>
        <v/>
      </c>
      <c r="AX31" s="261">
        <f>SUM(AX11:AX30)</f>
        <v/>
      </c>
      <c r="AY31" s="261">
        <f>SUM(AY11:AY30)</f>
        <v/>
      </c>
      <c r="AZ31" s="261">
        <f>SUM(AZ11:AZ30)</f>
        <v/>
      </c>
      <c r="BA31" s="261">
        <f>SUM(BA11:BA30)</f>
        <v/>
      </c>
      <c r="BB31" s="261">
        <f>SUM(BB11:BB30)</f>
        <v/>
      </c>
      <c r="BC31" s="261">
        <f>SUM(BC11:BC30)</f>
        <v/>
      </c>
      <c r="BD31" s="261">
        <f>SUM(BD11:BD30)</f>
        <v/>
      </c>
      <c r="BE31" s="261">
        <f>SUM(BE11:BE30)</f>
        <v/>
      </c>
      <c r="BF31" s="261">
        <f>SUM(BF11:BF30)</f>
        <v/>
      </c>
      <c r="BG31" s="261">
        <f>SUM(BG11:BG30)</f>
        <v/>
      </c>
      <c r="BH31" s="261">
        <f>SUM(BH11:BH30)</f>
        <v/>
      </c>
      <c r="BI31" s="261">
        <f>SUM(BI11:BI30)</f>
        <v/>
      </c>
    </row>
    <row r="32">
      <c r="A32" s="128" t="n"/>
      <c r="B32" s="194" t="n"/>
      <c r="C32" s="194" t="n"/>
      <c r="D32" s="194" t="n"/>
      <c r="E32" s="194" t="n"/>
      <c r="F32" s="194" t="n"/>
      <c r="G32" s="194" t="n"/>
      <c r="H32" s="128" t="n"/>
      <c r="I32" s="128" t="n"/>
      <c r="J32" s="128" t="n"/>
      <c r="K32" s="128" t="n"/>
      <c r="L32" s="128" t="n"/>
      <c r="M32" s="128" t="n"/>
      <c r="N32" s="128" t="n"/>
      <c r="O32" s="128" t="n"/>
      <c r="P32" s="128" t="n"/>
      <c r="Q32" s="128" t="n"/>
      <c r="R32" s="128" t="n"/>
      <c r="S32" s="128" t="n"/>
      <c r="T32" s="128" t="n"/>
      <c r="U32" s="128" t="n"/>
      <c r="V32" s="128" t="n"/>
      <c r="W32" s="128" t="n"/>
      <c r="X32" s="128" t="n"/>
      <c r="Y32" s="128" t="n"/>
      <c r="Z32" s="206" t="n"/>
      <c r="AA32" s="206" t="n"/>
      <c r="AB32" s="206" t="n"/>
      <c r="AC32" s="206" t="n"/>
      <c r="AD32" s="206" t="n"/>
      <c r="AE32" s="206" t="n"/>
      <c r="AF32" s="206" t="n"/>
      <c r="AG32" s="206" t="n"/>
      <c r="AH32" s="206" t="n"/>
      <c r="AI32" s="206" t="n"/>
      <c r="AJ32" s="206" t="n"/>
      <c r="AK32" s="206" t="n"/>
      <c r="AL32" s="206" t="n"/>
      <c r="AM32" s="206" t="n"/>
      <c r="AN32" s="206" t="n"/>
      <c r="AO32" s="206" t="n"/>
      <c r="AP32" s="206" t="n"/>
      <c r="AQ32" s="206" t="n"/>
      <c r="AR32" s="206" t="n"/>
      <c r="AS32" s="206" t="n"/>
      <c r="AT32" s="206" t="n"/>
      <c r="AU32" s="206" t="n"/>
      <c r="AV32" s="206" t="n"/>
      <c r="AW32" s="206" t="n"/>
      <c r="AX32" s="206" t="n"/>
      <c r="AY32" s="206" t="n"/>
      <c r="AZ32" s="206" t="n"/>
      <c r="BA32" s="206" t="n"/>
      <c r="BB32" s="206" t="n"/>
      <c r="BC32" s="206" t="n"/>
      <c r="BD32" s="206" t="n"/>
      <c r="BE32" s="206" t="n"/>
      <c r="BF32" s="206" t="n"/>
      <c r="BG32" s="206" t="n"/>
      <c r="BH32" s="206" t="n"/>
      <c r="BI32" s="206" t="n"/>
    </row>
    <row r="33">
      <c r="A33" s="36" t="inlineStr">
        <is>
          <t>Capital Activities</t>
        </is>
      </c>
      <c r="H33" s="94" t="n"/>
      <c r="I33" s="94" t="n"/>
      <c r="J33" s="94" t="n"/>
      <c r="K33" s="94" t="n"/>
      <c r="L33" s="94" t="n"/>
      <c r="M33" s="94" t="n"/>
      <c r="N33" s="94" t="n"/>
      <c r="O33" s="94" t="n"/>
      <c r="P33" s="94" t="n"/>
      <c r="Q33" s="94" t="n"/>
      <c r="R33" s="94" t="n"/>
      <c r="S33" s="94" t="n"/>
      <c r="T33" s="94" t="n"/>
      <c r="U33" s="94" t="n"/>
      <c r="V33" s="94" t="n"/>
      <c r="W33" s="94" t="n"/>
      <c r="X33" s="94" t="n"/>
      <c r="Y33" s="94" t="n"/>
    </row>
    <row r="34">
      <c r="A34" s="38" t="inlineStr">
        <is>
          <t>Investment Tranches (from RA LLC)</t>
        </is>
      </c>
      <c r="B34" s="133" t="n">
        <v>0</v>
      </c>
      <c r="C34" s="133" t="n">
        <v>0</v>
      </c>
      <c r="D34" s="133" t="n">
        <v>0</v>
      </c>
      <c r="E34" s="133" t="n">
        <v>0</v>
      </c>
      <c r="F34" s="133" t="n">
        <v>0</v>
      </c>
      <c r="G34" s="133" t="n">
        <v>0</v>
      </c>
      <c r="H34" s="133" t="n">
        <v>0</v>
      </c>
      <c r="I34" s="133" t="n">
        <v>0</v>
      </c>
      <c r="J34" s="133" t="n">
        <v>0</v>
      </c>
      <c r="K34" s="133" t="n">
        <v>0</v>
      </c>
      <c r="L34" s="133">
        <f>-'RA LLC Cashflow'!L31</f>
        <v/>
      </c>
      <c r="M34" s="133">
        <f>-'RA LLC Cashflow'!M31</f>
        <v/>
      </c>
      <c r="N34" s="133">
        <f>-'RA LLC Cashflow'!N31</f>
        <v/>
      </c>
      <c r="O34" s="133" t="n">
        <v>0</v>
      </c>
      <c r="P34" s="133" t="n">
        <v>0</v>
      </c>
      <c r="Q34" s="133" t="n">
        <v>0</v>
      </c>
      <c r="R34" s="133" t="n">
        <v>0</v>
      </c>
      <c r="S34" s="133" t="n">
        <v>0</v>
      </c>
      <c r="T34" s="133" t="n">
        <v>0</v>
      </c>
      <c r="U34" s="133" t="n">
        <v>0</v>
      </c>
      <c r="V34" s="133" t="n">
        <v>0</v>
      </c>
      <c r="W34" s="133" t="n">
        <v>0</v>
      </c>
      <c r="X34" s="133" t="n">
        <v>0</v>
      </c>
      <c r="Y34" s="133" t="n">
        <v>0</v>
      </c>
      <c r="Z34" s="133" t="n">
        <v>0</v>
      </c>
      <c r="AA34" s="133" t="n">
        <v>0</v>
      </c>
      <c r="AB34" s="133" t="n">
        <v>0</v>
      </c>
      <c r="AC34" s="133" t="n">
        <v>0</v>
      </c>
      <c r="AD34" s="133" t="n">
        <v>0</v>
      </c>
      <c r="AE34" s="133" t="n">
        <v>0</v>
      </c>
      <c r="AF34" s="133" t="n">
        <v>0</v>
      </c>
      <c r="AG34" s="133" t="n">
        <v>0</v>
      </c>
      <c r="AH34" s="133" t="n">
        <v>0</v>
      </c>
      <c r="AI34" s="133" t="n">
        <v>0</v>
      </c>
      <c r="AJ34" s="133" t="n">
        <v>0</v>
      </c>
      <c r="AK34" s="133" t="n">
        <v>0</v>
      </c>
      <c r="AL34" s="133" t="n">
        <v>0</v>
      </c>
      <c r="AM34" s="133" t="n">
        <v>0</v>
      </c>
      <c r="AN34" s="133" t="n">
        <v>0</v>
      </c>
      <c r="AO34" s="133" t="n">
        <v>0</v>
      </c>
      <c r="AP34" s="133" t="n">
        <v>0</v>
      </c>
      <c r="AQ34" s="133" t="n">
        <v>0</v>
      </c>
      <c r="AR34" s="133" t="n">
        <v>0</v>
      </c>
      <c r="AS34" s="133" t="n">
        <v>0</v>
      </c>
      <c r="AT34" s="133" t="n">
        <v>0</v>
      </c>
      <c r="AU34" s="133" t="n">
        <v>0</v>
      </c>
      <c r="AV34" s="133" t="n">
        <v>0</v>
      </c>
      <c r="AW34" s="133" t="n">
        <v>0</v>
      </c>
      <c r="AX34" s="133" t="n">
        <v>0</v>
      </c>
      <c r="AY34" s="133" t="n">
        <v>0</v>
      </c>
      <c r="AZ34" s="133" t="n">
        <v>0</v>
      </c>
      <c r="BA34" s="133" t="n">
        <v>0</v>
      </c>
      <c r="BB34" s="133" t="n">
        <v>0</v>
      </c>
      <c r="BC34" s="133" t="n">
        <v>0</v>
      </c>
      <c r="BD34" s="133" t="n">
        <v>0</v>
      </c>
      <c r="BE34" s="133" t="n">
        <v>0</v>
      </c>
      <c r="BF34" s="133" t="n">
        <v>0</v>
      </c>
      <c r="BG34" s="133" t="n">
        <v>0</v>
      </c>
      <c r="BH34" s="133" t="n">
        <v>0</v>
      </c>
      <c r="BI34" s="133" t="n">
        <v>0</v>
      </c>
    </row>
    <row r="35">
      <c r="A35" s="38" t="inlineStr">
        <is>
          <t>Investment Tranch Keepons due</t>
        </is>
      </c>
      <c r="B35" s="133" t="n">
        <v>0</v>
      </c>
      <c r="C35" s="133" t="n">
        <v>0</v>
      </c>
      <c r="D35" s="133" t="n">
        <v>0</v>
      </c>
      <c r="E35" s="133" t="n">
        <v>0</v>
      </c>
      <c r="F35" s="133" t="n">
        <v>0</v>
      </c>
      <c r="G35" s="133" t="n">
        <v>0</v>
      </c>
      <c r="H35" s="133" t="n">
        <v>0</v>
      </c>
      <c r="I35" s="133" t="n">
        <v>0</v>
      </c>
      <c r="J35" s="133" t="n">
        <v>0</v>
      </c>
      <c r="K35" s="133" t="n">
        <v>0</v>
      </c>
      <c r="L35" s="133" t="n">
        <v>0</v>
      </c>
      <c r="M35" s="133" t="n">
        <v>0</v>
      </c>
      <c r="N35" s="133" t="n">
        <v>0</v>
      </c>
      <c r="O35" s="133" t="n">
        <v>0</v>
      </c>
      <c r="P35" s="133" t="n">
        <v>0</v>
      </c>
      <c r="Q35" s="133" t="n">
        <v>0</v>
      </c>
      <c r="R35" s="133" t="n">
        <v>0</v>
      </c>
      <c r="S35" s="133" t="n">
        <v>0</v>
      </c>
      <c r="T35" s="133" t="n">
        <v>0</v>
      </c>
      <c r="U35" s="133" t="n">
        <v>0</v>
      </c>
      <c r="V35" s="133" t="n">
        <v>0</v>
      </c>
      <c r="W35" s="133" t="n">
        <v>0</v>
      </c>
      <c r="X35" s="133" t="n">
        <v>0</v>
      </c>
      <c r="Y35" s="133" t="n">
        <v>0</v>
      </c>
      <c r="Z35" s="133" t="n">
        <v>0</v>
      </c>
      <c r="AA35" s="133" t="n">
        <v>0</v>
      </c>
      <c r="AB35" s="133" t="n">
        <v>0</v>
      </c>
      <c r="AC35" s="133" t="n">
        <v>0</v>
      </c>
      <c r="AD35" s="133" t="n">
        <v>0</v>
      </c>
      <c r="AE35" s="133" t="n">
        <v>0</v>
      </c>
      <c r="AF35" s="133" t="n">
        <v>0</v>
      </c>
      <c r="AG35" s="133" t="n">
        <v>0</v>
      </c>
      <c r="AH35" s="133" t="n">
        <v>0</v>
      </c>
      <c r="AI35" s="133" t="n">
        <v>0</v>
      </c>
      <c r="AJ35" s="133" t="n">
        <v>0</v>
      </c>
      <c r="AK35" s="133" t="n">
        <v>0</v>
      </c>
      <c r="AL35" s="133" t="n">
        <v>0</v>
      </c>
      <c r="AM35" s="133" t="n">
        <v>0</v>
      </c>
      <c r="AN35" s="133" t="n">
        <v>0</v>
      </c>
      <c r="AO35" s="133" t="n">
        <v>0</v>
      </c>
      <c r="AP35" s="133" t="n">
        <v>0</v>
      </c>
      <c r="AQ35" s="133" t="n">
        <v>0</v>
      </c>
      <c r="AR35" s="133" t="n">
        <v>0</v>
      </c>
      <c r="AS35" s="133" t="n">
        <v>0</v>
      </c>
      <c r="AT35" s="133" t="n">
        <v>0</v>
      </c>
      <c r="AU35" s="133" t="n">
        <v>0</v>
      </c>
      <c r="AV35" s="133" t="n">
        <v>0</v>
      </c>
      <c r="AW35" s="133" t="n">
        <v>0</v>
      </c>
      <c r="AX35" s="133" t="n">
        <v>0</v>
      </c>
      <c r="AY35" s="133" t="n">
        <v>0</v>
      </c>
      <c r="AZ35" s="133" t="n">
        <v>0</v>
      </c>
      <c r="BA35" s="133" t="n">
        <v>0</v>
      </c>
      <c r="BB35" s="133" t="n">
        <v>0</v>
      </c>
      <c r="BC35" s="133" t="n">
        <v>0</v>
      </c>
      <c r="BD35" s="133" t="n">
        <v>0</v>
      </c>
      <c r="BE35" s="133" t="n">
        <v>0</v>
      </c>
      <c r="BF35" s="133" t="n">
        <v>0</v>
      </c>
      <c r="BG35" s="133" t="n">
        <v>0</v>
      </c>
      <c r="BH35" s="133" t="n">
        <v>0</v>
      </c>
      <c r="BI35" s="133">
        <f>-(Capital!I12+Capital!I13)</f>
        <v/>
      </c>
    </row>
    <row r="36">
      <c r="A36" s="108" t="inlineStr">
        <is>
          <t>Total Capital Activities</t>
        </is>
      </c>
      <c r="B36" s="261">
        <f>SUM(B35)</f>
        <v/>
      </c>
      <c r="C36" s="261">
        <f>SUM(C35)</f>
        <v/>
      </c>
      <c r="D36" s="261">
        <f>SUM(D35)</f>
        <v/>
      </c>
      <c r="E36" s="261">
        <f>SUM(E34)</f>
        <v/>
      </c>
      <c r="F36" s="261">
        <f>SUM(F34:F35)</f>
        <v/>
      </c>
      <c r="G36" s="261">
        <f>SUM(G34:G35)</f>
        <v/>
      </c>
      <c r="H36" s="261">
        <f>SUM(H34:H35)</f>
        <v/>
      </c>
      <c r="I36" s="261">
        <f>SUM(I34:I35)</f>
        <v/>
      </c>
      <c r="J36" s="261">
        <f>SUM(J34:J35)</f>
        <v/>
      </c>
      <c r="K36" s="261">
        <f>SUM(K34:K35)</f>
        <v/>
      </c>
      <c r="L36" s="261">
        <f>SUM(L34:L35)</f>
        <v/>
      </c>
      <c r="M36" s="261">
        <f>SUM(M34:M35)</f>
        <v/>
      </c>
      <c r="N36" s="261">
        <f>SUM(N34:N35)</f>
        <v/>
      </c>
      <c r="O36" s="261">
        <f>SUM(O34:O35)</f>
        <v/>
      </c>
      <c r="P36" s="261">
        <f>SUM(P34:P35)</f>
        <v/>
      </c>
      <c r="Q36" s="261">
        <f>SUM(Q34:Q35)</f>
        <v/>
      </c>
      <c r="R36" s="261">
        <f>SUM(R34:R35)</f>
        <v/>
      </c>
      <c r="S36" s="261">
        <f>SUM(S34:S35)</f>
        <v/>
      </c>
      <c r="T36" s="261">
        <f>SUM(T34:T35)</f>
        <v/>
      </c>
      <c r="U36" s="261">
        <f>SUM(U34:U35)</f>
        <v/>
      </c>
      <c r="V36" s="261">
        <f>SUM(V34:V35)</f>
        <v/>
      </c>
      <c r="W36" s="261">
        <f>SUM(W34:W35)</f>
        <v/>
      </c>
      <c r="X36" s="261">
        <f>SUM(X34:X35)</f>
        <v/>
      </c>
      <c r="Y36" s="261">
        <f>SUM(Y34:Y35)</f>
        <v/>
      </c>
      <c r="Z36" s="261">
        <f>SUM(Z34:Z35)</f>
        <v/>
      </c>
      <c r="AA36" s="261">
        <f>SUM(AA34:AA35)</f>
        <v/>
      </c>
      <c r="AB36" s="261">
        <f>SUM(AB34:AB35)</f>
        <v/>
      </c>
      <c r="AC36" s="261">
        <f>SUM(AC34:AC35)</f>
        <v/>
      </c>
      <c r="AD36" s="261">
        <f>SUM(AD34:AD35)</f>
        <v/>
      </c>
      <c r="AE36" s="261">
        <f>SUM(AE34:AE35)</f>
        <v/>
      </c>
      <c r="AF36" s="261">
        <f>SUM(AF34:AF35)</f>
        <v/>
      </c>
      <c r="AG36" s="261">
        <f>SUM(AG34:AG35)</f>
        <v/>
      </c>
      <c r="AH36" s="261">
        <f>SUM(AH34:AH35)</f>
        <v/>
      </c>
      <c r="AI36" s="261">
        <f>SUM(AI34:AI35)</f>
        <v/>
      </c>
      <c r="AJ36" s="261">
        <f>SUM(AJ34:AJ35)</f>
        <v/>
      </c>
      <c r="AK36" s="261">
        <f>SUM(AK34:AK35)</f>
        <v/>
      </c>
      <c r="AL36" s="261">
        <f>SUM(AL34:AL35)</f>
        <v/>
      </c>
      <c r="AM36" s="261">
        <f>SUM(AM34:AM35)</f>
        <v/>
      </c>
      <c r="AN36" s="261">
        <f>SUM(AN34:AN35)</f>
        <v/>
      </c>
      <c r="AO36" s="261">
        <f>SUM(AO34:AO35)</f>
        <v/>
      </c>
      <c r="AP36" s="261">
        <f>SUM(AP34:AP35)</f>
        <v/>
      </c>
      <c r="AQ36" s="261">
        <f>SUM(AQ34:AQ35)</f>
        <v/>
      </c>
      <c r="AR36" s="261">
        <f>SUM(AR34:AR35)</f>
        <v/>
      </c>
      <c r="AS36" s="261">
        <f>SUM(AS34:AS35)</f>
        <v/>
      </c>
      <c r="AT36" s="261">
        <f>SUM(AT34:AT35)</f>
        <v/>
      </c>
      <c r="AU36" s="261">
        <f>SUM(AU34:AU35)</f>
        <v/>
      </c>
      <c r="AV36" s="261">
        <f>SUM(AV34:AV35)</f>
        <v/>
      </c>
      <c r="AW36" s="261">
        <f>SUM(AW34:AW35)</f>
        <v/>
      </c>
      <c r="AX36" s="261">
        <f>SUM(AX34:AX35)</f>
        <v/>
      </c>
      <c r="AY36" s="261">
        <f>SUM(AY34:AY35)</f>
        <v/>
      </c>
      <c r="AZ36" s="261">
        <f>SUM(AZ34:AZ35)</f>
        <v/>
      </c>
      <c r="BA36" s="261">
        <f>SUM(BA34:BA35)</f>
        <v/>
      </c>
      <c r="BB36" s="261">
        <f>SUM(BB34:BB35)</f>
        <v/>
      </c>
      <c r="BC36" s="261">
        <f>SUM(BC34:BC35)</f>
        <v/>
      </c>
      <c r="BD36" s="261">
        <f>SUM(BD34:BD35)</f>
        <v/>
      </c>
      <c r="BE36" s="261">
        <f>SUM(BE34:BE35)</f>
        <v/>
      </c>
      <c r="BF36" s="261">
        <f>SUM(BF34:BF35)</f>
        <v/>
      </c>
      <c r="BG36" s="261">
        <f>SUM(BG34:BG35)</f>
        <v/>
      </c>
      <c r="BH36" s="261">
        <f>SUM(BH34:BH35)</f>
        <v/>
      </c>
      <c r="BI36" s="261">
        <f>SUM(BI34:BI35)</f>
        <v/>
      </c>
    </row>
    <row r="37">
      <c r="A37" s="128" t="n"/>
      <c r="B37" s="128" t="n"/>
      <c r="C37" s="128" t="n"/>
      <c r="D37" s="128" t="n"/>
      <c r="E37" s="128" t="n"/>
      <c r="F37" s="128" t="n"/>
      <c r="G37" s="128" t="n"/>
      <c r="H37" s="128" t="n"/>
      <c r="I37" s="128" t="n"/>
      <c r="J37" s="128" t="n"/>
      <c r="K37" s="128" t="n"/>
      <c r="L37" s="128" t="n"/>
      <c r="M37" s="128" t="n"/>
      <c r="N37" s="128" t="n"/>
      <c r="O37" s="128" t="n"/>
      <c r="P37" s="128" t="n"/>
      <c r="Q37" s="128" t="n"/>
      <c r="R37" s="128" t="n"/>
      <c r="S37" s="128" t="n"/>
      <c r="T37" s="128" t="n"/>
      <c r="U37" s="128" t="n"/>
      <c r="V37" s="128" t="n"/>
      <c r="W37" s="128" t="n"/>
      <c r="X37" s="128" t="n"/>
      <c r="Y37" s="128" t="n"/>
      <c r="Z37" s="206" t="n"/>
      <c r="AA37" s="206" t="n"/>
      <c r="AB37" s="206" t="n"/>
      <c r="AC37" s="206" t="n"/>
      <c r="AD37" s="206" t="n"/>
      <c r="AE37" s="206" t="n"/>
      <c r="AF37" s="206" t="n"/>
      <c r="AG37" s="206" t="n"/>
      <c r="AH37" s="206" t="n"/>
      <c r="AI37" s="206" t="n"/>
      <c r="AJ37" s="206" t="n"/>
      <c r="AK37" s="206" t="n"/>
      <c r="AL37" s="206" t="n"/>
      <c r="AM37" s="206" t="n"/>
      <c r="AN37" s="206" t="n"/>
      <c r="AO37" s="206" t="n"/>
      <c r="AP37" s="206" t="n"/>
      <c r="AQ37" s="206" t="n"/>
      <c r="AR37" s="206" t="n"/>
      <c r="AS37" s="206" t="n"/>
      <c r="AT37" s="206" t="n"/>
      <c r="AU37" s="206" t="n"/>
      <c r="AV37" s="206" t="n"/>
      <c r="AW37" s="206" t="n"/>
      <c r="AX37" s="206" t="n"/>
      <c r="AY37" s="206" t="n"/>
      <c r="AZ37" s="206" t="n"/>
      <c r="BA37" s="206" t="n"/>
      <c r="BB37" s="206" t="n"/>
      <c r="BC37" s="206" t="n"/>
      <c r="BD37" s="206" t="n"/>
      <c r="BE37" s="206" t="n"/>
      <c r="BF37" s="206" t="n"/>
      <c r="BG37" s="206" t="n"/>
      <c r="BH37" s="206" t="n"/>
      <c r="BI37" s="206" t="n"/>
    </row>
    <row r="38">
      <c r="A38" s="36" t="inlineStr">
        <is>
          <t>Operating Expenses</t>
        </is>
      </c>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c r="X38" s="94" t="n"/>
      <c r="Y38" s="94" t="n"/>
    </row>
    <row r="39">
      <c r="A39" s="38" t="inlineStr">
        <is>
          <t>Personnel Stipends</t>
        </is>
      </c>
      <c r="B39" s="133" t="n">
        <v>0</v>
      </c>
      <c r="C39" s="133" t="n">
        <v>0</v>
      </c>
      <c r="D39" s="133" t="n">
        <v>0</v>
      </c>
      <c r="E39" s="133">
        <f>'RGT Cashflow (5yr)'!E8</f>
        <v/>
      </c>
      <c r="F39" s="133">
        <f>'RGT Cashflow (5yr)'!F8</f>
        <v/>
      </c>
      <c r="G39" s="133">
        <f>'RGT Cashflow (5yr)'!G8</f>
        <v/>
      </c>
      <c r="H39" s="133">
        <f>'RGT Cashflow (5yr)'!H8</f>
        <v/>
      </c>
      <c r="I39" s="133">
        <f>'RGT Cashflow (5yr)'!I8</f>
        <v/>
      </c>
      <c r="J39" s="133">
        <f>'RGT Cashflow (5yr)'!J8</f>
        <v/>
      </c>
      <c r="K39" s="133">
        <f>'RGT Cashflow (5yr)'!K8</f>
        <v/>
      </c>
      <c r="L39" s="133">
        <f>'RGT Cashflow (5yr)'!L8</f>
        <v/>
      </c>
      <c r="M39" s="133">
        <f>'RGT Cashflow (5yr)'!M8</f>
        <v/>
      </c>
      <c r="N39" s="133">
        <f>'RGT Cashflow (5yr)'!N8</f>
        <v/>
      </c>
      <c r="O39" s="133">
        <f>'RGT Cashflow (5yr)'!O8</f>
        <v/>
      </c>
      <c r="P39" s="133">
        <f>'RGT Cashflow (5yr)'!P8</f>
        <v/>
      </c>
      <c r="Q39" s="133">
        <f>'RGT Cashflow (5yr)'!Q8</f>
        <v/>
      </c>
      <c r="R39" s="133">
        <f>'RGT Cashflow (5yr)'!R8</f>
        <v/>
      </c>
      <c r="S39" s="133">
        <f>'RGT Cashflow (5yr)'!S8</f>
        <v/>
      </c>
      <c r="T39" s="133">
        <f>'RGT Cashflow (5yr)'!T8</f>
        <v/>
      </c>
      <c r="U39" s="133">
        <f>'RGT Cashflow (5yr)'!U8</f>
        <v/>
      </c>
      <c r="V39" s="133">
        <f>'RGT Cashflow (5yr)'!V8</f>
        <v/>
      </c>
      <c r="W39" s="133">
        <f>'RGT Cashflow (5yr)'!W8</f>
        <v/>
      </c>
      <c r="X39" s="133">
        <f>'RGT Cashflow (5yr)'!X8</f>
        <v/>
      </c>
      <c r="Y39" s="133">
        <f>'RGT Cashflow (5yr)'!Y8</f>
        <v/>
      </c>
      <c r="Z39" s="133">
        <f>'RGT Cashflow (5yr)'!Z8</f>
        <v/>
      </c>
      <c r="AA39" s="133">
        <f>'RGT Cashflow (5yr)'!AA8</f>
        <v/>
      </c>
      <c r="AB39" s="133">
        <f>'RGT Cashflow (5yr)'!AB8</f>
        <v/>
      </c>
      <c r="AC39" s="133">
        <f>'RGT Cashflow (5yr)'!AC8</f>
        <v/>
      </c>
      <c r="AD39" s="133">
        <f>'RGT Cashflow (5yr)'!AD8</f>
        <v/>
      </c>
      <c r="AE39" s="133">
        <f>'RGT Cashflow (5yr)'!AE8</f>
        <v/>
      </c>
      <c r="AF39" s="133">
        <f>'RGT Cashflow (5yr)'!AF8</f>
        <v/>
      </c>
      <c r="AG39" s="133">
        <f>'RGT Cashflow (5yr)'!AG8</f>
        <v/>
      </c>
      <c r="AH39" s="133">
        <f>'RGT Cashflow (5yr)'!AH8</f>
        <v/>
      </c>
      <c r="AI39" s="133">
        <f>'RGT Cashflow (5yr)'!AI8</f>
        <v/>
      </c>
      <c r="AJ39" s="133">
        <f>'RGT Cashflow (5yr)'!AJ8</f>
        <v/>
      </c>
      <c r="AK39" s="133">
        <f>'RGT Cashflow (5yr)'!AK8</f>
        <v/>
      </c>
      <c r="AL39" s="133">
        <f>'RGT Cashflow (5yr)'!AL8</f>
        <v/>
      </c>
      <c r="AM39" s="133">
        <f>'RGT Cashflow (5yr)'!AM8</f>
        <v/>
      </c>
      <c r="AN39" s="133">
        <f>'RGT Cashflow (5yr)'!AN8</f>
        <v/>
      </c>
      <c r="AO39" s="133">
        <f>'RGT Cashflow (5yr)'!AO8</f>
        <v/>
      </c>
      <c r="AP39" s="133">
        <f>'RGT Cashflow (5yr)'!AP8</f>
        <v/>
      </c>
      <c r="AQ39" s="133">
        <f>'RGT Cashflow (5yr)'!AQ8</f>
        <v/>
      </c>
      <c r="AR39" s="133">
        <f>'RGT Cashflow (5yr)'!AR8</f>
        <v/>
      </c>
      <c r="AS39" s="133">
        <f>'RGT Cashflow (5yr)'!AS8</f>
        <v/>
      </c>
      <c r="AT39" s="133">
        <f>'RGT Cashflow (5yr)'!AT8</f>
        <v/>
      </c>
      <c r="AU39" s="133">
        <f>'RGT Cashflow (5yr)'!AU8</f>
        <v/>
      </c>
      <c r="AV39" s="133">
        <f>'RGT Cashflow (5yr)'!AV8</f>
        <v/>
      </c>
      <c r="AW39" s="133">
        <f>'RGT Cashflow (5yr)'!AW8</f>
        <v/>
      </c>
      <c r="AX39" s="133">
        <f>'RGT Cashflow (5yr)'!AX8</f>
        <v/>
      </c>
      <c r="AY39" s="133">
        <f>'RGT Cashflow (5yr)'!AY8</f>
        <v/>
      </c>
      <c r="AZ39" s="133">
        <f>'RGT Cashflow (5yr)'!AZ8</f>
        <v/>
      </c>
      <c r="BA39" s="133">
        <f>'RGT Cashflow (5yr)'!BA8</f>
        <v/>
      </c>
      <c r="BB39" s="133">
        <f>'RGT Cashflow (5yr)'!BB8</f>
        <v/>
      </c>
      <c r="BC39" s="133">
        <f>'RGT Cashflow (5yr)'!BC8</f>
        <v/>
      </c>
      <c r="BD39" s="133">
        <f>'RGT Cashflow (5yr)'!BD8</f>
        <v/>
      </c>
      <c r="BE39" s="133">
        <f>'RGT Cashflow (5yr)'!BE8</f>
        <v/>
      </c>
      <c r="BF39" s="133">
        <f>'RGT Cashflow (5yr)'!BF8</f>
        <v/>
      </c>
      <c r="BG39" s="133">
        <f>'RGT Cashflow (5yr)'!BG8</f>
        <v/>
      </c>
      <c r="BH39" s="133">
        <f>'RGT Cashflow (5yr)'!BH8</f>
        <v/>
      </c>
      <c r="BI39" s="133">
        <f>'RGT Cashflow (5yr)'!BI8</f>
        <v/>
      </c>
    </row>
    <row r="40">
      <c r="A40" s="38" t="inlineStr">
        <is>
          <t>Expenditures</t>
        </is>
      </c>
      <c r="B40" s="133">
        <f>B31</f>
        <v/>
      </c>
      <c r="C40" s="133">
        <f>C31</f>
        <v/>
      </c>
      <c r="D40" s="133">
        <f>D31</f>
        <v/>
      </c>
      <c r="E40" s="133">
        <f>E31</f>
        <v/>
      </c>
      <c r="F40" s="133">
        <f>F31</f>
        <v/>
      </c>
      <c r="G40" s="133">
        <f>G31</f>
        <v/>
      </c>
      <c r="H40" s="133">
        <f>H31</f>
        <v/>
      </c>
      <c r="I40" s="133">
        <f>I31</f>
        <v/>
      </c>
      <c r="J40" s="133">
        <f>J31</f>
        <v/>
      </c>
      <c r="K40" s="133">
        <f>K31</f>
        <v/>
      </c>
      <c r="L40" s="133">
        <f>L31</f>
        <v/>
      </c>
      <c r="M40" s="133">
        <f>M31</f>
        <v/>
      </c>
      <c r="N40" s="133">
        <f>N31</f>
        <v/>
      </c>
      <c r="O40" s="133">
        <f>O31</f>
        <v/>
      </c>
      <c r="P40" s="133">
        <f>P31</f>
        <v/>
      </c>
      <c r="Q40" s="133">
        <f>Q31</f>
        <v/>
      </c>
      <c r="R40" s="133">
        <f>R31</f>
        <v/>
      </c>
      <c r="S40" s="133">
        <f>S31</f>
        <v/>
      </c>
      <c r="T40" s="133">
        <f>T31</f>
        <v/>
      </c>
      <c r="U40" s="133">
        <f>U31</f>
        <v/>
      </c>
      <c r="V40" s="133">
        <f>V31</f>
        <v/>
      </c>
      <c r="W40" s="133">
        <f>W31</f>
        <v/>
      </c>
      <c r="X40" s="133">
        <f>X31</f>
        <v/>
      </c>
      <c r="Y40" s="133">
        <f>Y31</f>
        <v/>
      </c>
      <c r="Z40" s="133">
        <f>Z31</f>
        <v/>
      </c>
      <c r="AA40" s="133">
        <f>AA31</f>
        <v/>
      </c>
      <c r="AB40" s="133">
        <f>AB31</f>
        <v/>
      </c>
      <c r="AC40" s="133">
        <f>AC31</f>
        <v/>
      </c>
      <c r="AD40" s="133">
        <f>AD31</f>
        <v/>
      </c>
      <c r="AE40" s="133">
        <f>AE31</f>
        <v/>
      </c>
      <c r="AF40" s="133">
        <f>AF31</f>
        <v/>
      </c>
      <c r="AG40" s="133">
        <f>AG31</f>
        <v/>
      </c>
      <c r="AH40" s="133">
        <f>AH31</f>
        <v/>
      </c>
      <c r="AI40" s="133">
        <f>AI31</f>
        <v/>
      </c>
      <c r="AJ40" s="133">
        <f>AJ31</f>
        <v/>
      </c>
      <c r="AK40" s="133">
        <f>AK31</f>
        <v/>
      </c>
      <c r="AL40" s="133">
        <f>AL31</f>
        <v/>
      </c>
      <c r="AM40" s="133">
        <f>AM31</f>
        <v/>
      </c>
      <c r="AN40" s="133">
        <f>AN31</f>
        <v/>
      </c>
      <c r="AO40" s="133">
        <f>AO31</f>
        <v/>
      </c>
      <c r="AP40" s="133">
        <f>AP31</f>
        <v/>
      </c>
      <c r="AQ40" s="133">
        <f>AQ31</f>
        <v/>
      </c>
      <c r="AR40" s="133">
        <f>AR31</f>
        <v/>
      </c>
      <c r="AS40" s="133">
        <f>AS31</f>
        <v/>
      </c>
      <c r="AT40" s="133">
        <f>AT31</f>
        <v/>
      </c>
      <c r="AU40" s="133">
        <f>AU31</f>
        <v/>
      </c>
      <c r="AV40" s="133">
        <f>AV31</f>
        <v/>
      </c>
      <c r="AW40" s="133">
        <f>AW31</f>
        <v/>
      </c>
      <c r="AX40" s="133">
        <f>AX31</f>
        <v/>
      </c>
      <c r="AY40" s="133">
        <f>AY31</f>
        <v/>
      </c>
      <c r="AZ40" s="133">
        <f>AZ31</f>
        <v/>
      </c>
      <c r="BA40" s="133">
        <f>BA31</f>
        <v/>
      </c>
      <c r="BB40" s="133">
        <f>BB31</f>
        <v/>
      </c>
      <c r="BC40" s="133">
        <f>BC31</f>
        <v/>
      </c>
      <c r="BD40" s="133">
        <f>BD31</f>
        <v/>
      </c>
      <c r="BE40" s="133">
        <f>BE31</f>
        <v/>
      </c>
      <c r="BF40" s="133">
        <f>BF31</f>
        <v/>
      </c>
      <c r="BG40" s="133">
        <f>BG31</f>
        <v/>
      </c>
      <c r="BH40" s="133">
        <f>BH31</f>
        <v/>
      </c>
      <c r="BI40" s="133">
        <f>BI31</f>
        <v/>
      </c>
    </row>
    <row r="41">
      <c r="A41" s="108" t="inlineStr">
        <is>
          <t>Total Operating Expenses</t>
        </is>
      </c>
      <c r="B41" s="261">
        <f>sum(B39:B40)</f>
        <v/>
      </c>
      <c r="C41" s="261">
        <f>sum(C39:C40)</f>
        <v/>
      </c>
      <c r="D41" s="261">
        <f>sum(D39:D40)</f>
        <v/>
      </c>
      <c r="E41" s="261">
        <f>sum(E39:E40)</f>
        <v/>
      </c>
      <c r="F41" s="261">
        <f>sum(F39:F40)</f>
        <v/>
      </c>
      <c r="G41" s="261">
        <f>sum(G39:G40)</f>
        <v/>
      </c>
      <c r="H41" s="261">
        <f>sum(H39:H40)</f>
        <v/>
      </c>
      <c r="I41" s="261">
        <f>sum(I39:I40)</f>
        <v/>
      </c>
      <c r="J41" s="261">
        <f>sum(J39:J40)</f>
        <v/>
      </c>
      <c r="K41" s="261">
        <f>sum(K39:K40)</f>
        <v/>
      </c>
      <c r="L41" s="261">
        <f>sum(L39:L40)</f>
        <v/>
      </c>
      <c r="M41" s="261">
        <f>sum(M39:M40)</f>
        <v/>
      </c>
      <c r="N41" s="261">
        <f>sum(N39:N40)</f>
        <v/>
      </c>
      <c r="O41" s="261">
        <f>sum(O39:O40)</f>
        <v/>
      </c>
      <c r="P41" s="261">
        <f>sum(P39:P40)</f>
        <v/>
      </c>
      <c r="Q41" s="261">
        <f>sum(Q39:Q40)</f>
        <v/>
      </c>
      <c r="R41" s="261">
        <f>sum(R39:R40)</f>
        <v/>
      </c>
      <c r="S41" s="261">
        <f>sum(S39:S40)</f>
        <v/>
      </c>
      <c r="T41" s="261">
        <f>sum(T39:T40)</f>
        <v/>
      </c>
      <c r="U41" s="261">
        <f>sum(U39:U40)</f>
        <v/>
      </c>
      <c r="V41" s="261">
        <f>sum(V39:V40)</f>
        <v/>
      </c>
      <c r="W41" s="261">
        <f>sum(W39:W40)</f>
        <v/>
      </c>
      <c r="X41" s="261">
        <f>sum(X39:X40)</f>
        <v/>
      </c>
      <c r="Y41" s="261">
        <f>sum(Y39:Y40)</f>
        <v/>
      </c>
      <c r="Z41" s="261">
        <f>sum(Z39:Z40)</f>
        <v/>
      </c>
      <c r="AA41" s="261">
        <f>sum(AA39:AA40)</f>
        <v/>
      </c>
      <c r="AB41" s="261">
        <f>sum(AB39:AB40)</f>
        <v/>
      </c>
      <c r="AC41" s="261">
        <f>sum(AC39:AC40)</f>
        <v/>
      </c>
      <c r="AD41" s="261">
        <f>sum(AD39:AD40)</f>
        <v/>
      </c>
      <c r="AE41" s="261">
        <f>sum(AE39:AE40)</f>
        <v/>
      </c>
      <c r="AF41" s="261">
        <f>sum(AF39:AF40)</f>
        <v/>
      </c>
      <c r="AG41" s="261">
        <f>sum(AG39:AG40)</f>
        <v/>
      </c>
      <c r="AH41" s="261">
        <f>sum(AH39:AH40)</f>
        <v/>
      </c>
      <c r="AI41" s="261">
        <f>sum(AI39:AI40)</f>
        <v/>
      </c>
      <c r="AJ41" s="261">
        <f>sum(AJ39:AJ40)</f>
        <v/>
      </c>
      <c r="AK41" s="261">
        <f>sum(AK39:AK40)</f>
        <v/>
      </c>
      <c r="AL41" s="261">
        <f>sum(AL39:AL40)</f>
        <v/>
      </c>
      <c r="AM41" s="261">
        <f>sum(AM39:AM40)</f>
        <v/>
      </c>
      <c r="AN41" s="261">
        <f>sum(AN39:AN40)</f>
        <v/>
      </c>
      <c r="AO41" s="261">
        <f>sum(AO39:AO40)</f>
        <v/>
      </c>
      <c r="AP41" s="261">
        <f>sum(AP39:AP40)</f>
        <v/>
      </c>
      <c r="AQ41" s="261">
        <f>sum(AQ39:AQ40)</f>
        <v/>
      </c>
      <c r="AR41" s="261">
        <f>sum(AR39:AR40)</f>
        <v/>
      </c>
      <c r="AS41" s="261">
        <f>sum(AS39:AS40)</f>
        <v/>
      </c>
      <c r="AT41" s="261">
        <f>sum(AT39:AT40)</f>
        <v/>
      </c>
      <c r="AU41" s="261">
        <f>sum(AU39:AU40)</f>
        <v/>
      </c>
      <c r="AV41" s="261">
        <f>sum(AV39:AV40)</f>
        <v/>
      </c>
      <c r="AW41" s="261">
        <f>sum(AW39:AW40)</f>
        <v/>
      </c>
      <c r="AX41" s="261">
        <f>sum(AX39:AX40)</f>
        <v/>
      </c>
      <c r="AY41" s="261">
        <f>sum(AY39:AY40)</f>
        <v/>
      </c>
      <c r="AZ41" s="261">
        <f>sum(AZ39:AZ40)</f>
        <v/>
      </c>
      <c r="BA41" s="261">
        <f>sum(BA39:BA40)</f>
        <v/>
      </c>
      <c r="BB41" s="261">
        <f>sum(BB39:BB40)</f>
        <v/>
      </c>
      <c r="BC41" s="261">
        <f>sum(BC39:BC40)</f>
        <v/>
      </c>
      <c r="BD41" s="261">
        <f>sum(BD39:BD40)</f>
        <v/>
      </c>
      <c r="BE41" s="261">
        <f>sum(BE39:BE40)</f>
        <v/>
      </c>
      <c r="BF41" s="261">
        <f>sum(BF39:BF40)</f>
        <v/>
      </c>
      <c r="BG41" s="261">
        <f>sum(BG39:BG40)</f>
        <v/>
      </c>
      <c r="BH41" s="261">
        <f>sum(BH39:BH40)</f>
        <v/>
      </c>
      <c r="BI41" s="261">
        <f>sum(BI39:BI40)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Revenue Streams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Token Tax Revenue</t>
        </is>
      </c>
      <c r="B44" s="133">
        <f>'Token Demand (5yr)'!B24</f>
        <v/>
      </c>
      <c r="C44" s="133">
        <f>'Token Demand (5yr)'!C24</f>
        <v/>
      </c>
      <c r="D44" s="133">
        <f>'Token Demand (5yr)'!D24</f>
        <v/>
      </c>
      <c r="E44" s="133">
        <f>'Token Demand (5yr)'!E24</f>
        <v/>
      </c>
      <c r="F44" s="133">
        <f>'Token Demand (5yr)'!F24</f>
        <v/>
      </c>
      <c r="G44" s="133">
        <f>'Token Demand (5yr)'!G24</f>
        <v/>
      </c>
      <c r="H44" s="133">
        <f>'Token Demand (5yr)'!H24</f>
        <v/>
      </c>
      <c r="I44" s="133">
        <f>'Token Demand (5yr)'!I24</f>
        <v/>
      </c>
      <c r="J44" s="133">
        <f>'Token Demand (5yr)'!J24</f>
        <v/>
      </c>
      <c r="K44" s="133">
        <f>'Token Demand (5yr)'!K31</f>
        <v/>
      </c>
      <c r="L44" s="133">
        <f>'Token Demand (5yr)'!L31</f>
        <v/>
      </c>
      <c r="M44" s="133">
        <f>'Token Demand (5yr)'!M31</f>
        <v/>
      </c>
      <c r="N44" s="133">
        <f>'Token Demand (5yr)'!N31</f>
        <v/>
      </c>
      <c r="O44" s="133">
        <f>'Token Demand (5yr)'!O31</f>
        <v/>
      </c>
      <c r="P44" s="133">
        <f>'Token Demand (5yr)'!P31</f>
        <v/>
      </c>
      <c r="Q44" s="133">
        <f>'Token Demand (5yr)'!Q31</f>
        <v/>
      </c>
      <c r="R44" s="133">
        <f>'Token Demand (5yr)'!R31</f>
        <v/>
      </c>
      <c r="S44" s="133">
        <f>'Token Demand (5yr)'!S31</f>
        <v/>
      </c>
      <c r="T44" s="133">
        <f>'Token Demand (5yr)'!T31</f>
        <v/>
      </c>
      <c r="U44" s="133">
        <f>'Token Demand (5yr)'!U31</f>
        <v/>
      </c>
      <c r="V44" s="133">
        <f>'Token Demand (5yr)'!V31</f>
        <v/>
      </c>
      <c r="W44" s="133">
        <f>'Token Demand (5yr)'!W31</f>
        <v/>
      </c>
      <c r="X44" s="133">
        <f>'Token Demand (5yr)'!X31</f>
        <v/>
      </c>
      <c r="Y44" s="133">
        <f>'Token Demand (5yr)'!Y31</f>
        <v/>
      </c>
      <c r="Z44" s="133">
        <f>'Token Demand (5yr)'!Z31</f>
        <v/>
      </c>
      <c r="AA44" s="133">
        <f>'Token Demand (5yr)'!AA31</f>
        <v/>
      </c>
      <c r="AB44" s="133">
        <f>'Token Demand (5yr)'!AB31</f>
        <v/>
      </c>
      <c r="AC44" s="133">
        <f>'Token Demand (5yr)'!AC31</f>
        <v/>
      </c>
      <c r="AD44" s="133">
        <f>'Token Demand (5yr)'!AD31</f>
        <v/>
      </c>
      <c r="AE44" s="133">
        <f>'Token Demand (5yr)'!AE31</f>
        <v/>
      </c>
      <c r="AF44" s="133">
        <f>'Token Demand (5yr)'!AF31</f>
        <v/>
      </c>
      <c r="AG44" s="133">
        <f>'Token Demand (5yr)'!AG31</f>
        <v/>
      </c>
      <c r="AH44" s="133">
        <f>'Token Demand (5yr)'!AH31</f>
        <v/>
      </c>
      <c r="AI44" s="133">
        <f>'Token Demand (5yr)'!AI31</f>
        <v/>
      </c>
      <c r="AJ44" s="133">
        <f>'Token Demand (5yr)'!AJ31</f>
        <v/>
      </c>
      <c r="AK44" s="133">
        <f>'Token Demand (5yr)'!AK31</f>
        <v/>
      </c>
      <c r="AL44" s="133">
        <f>'Token Demand (5yr)'!AL31</f>
        <v/>
      </c>
      <c r="AM44" s="133">
        <f>'Token Demand (5yr)'!AM31</f>
        <v/>
      </c>
      <c r="AN44" s="133">
        <f>'Token Demand (5yr)'!AN31</f>
        <v/>
      </c>
      <c r="AO44" s="133">
        <f>'Token Demand (5yr)'!AO31</f>
        <v/>
      </c>
      <c r="AP44" s="133">
        <f>'Token Demand (5yr)'!AP31</f>
        <v/>
      </c>
      <c r="AQ44" s="133">
        <f>'Token Demand (5yr)'!AQ31</f>
        <v/>
      </c>
      <c r="AR44" s="133">
        <f>'Token Demand (5yr)'!AR31</f>
        <v/>
      </c>
      <c r="AS44" s="133">
        <f>'Token Demand (5yr)'!AS31</f>
        <v/>
      </c>
      <c r="AT44" s="133">
        <f>'Token Demand (5yr)'!AT31</f>
        <v/>
      </c>
      <c r="AU44" s="133">
        <f>'Token Demand (5yr)'!AU31</f>
        <v/>
      </c>
      <c r="AV44" s="133">
        <f>'Token Demand (5yr)'!AV31</f>
        <v/>
      </c>
      <c r="AW44" s="133">
        <f>'Token Demand (5yr)'!AW31</f>
        <v/>
      </c>
      <c r="AX44" s="133">
        <f>'Token Demand (5yr)'!AX31</f>
        <v/>
      </c>
      <c r="AY44" s="133">
        <f>'Token Demand (5yr)'!AY31</f>
        <v/>
      </c>
      <c r="AZ44" s="133">
        <f>'Token Demand (5yr)'!AZ31</f>
        <v/>
      </c>
      <c r="BA44" s="133">
        <f>'Token Demand (5yr)'!BA31</f>
        <v/>
      </c>
      <c r="BB44" s="133">
        <f>'Token Demand (5yr)'!BB31</f>
        <v/>
      </c>
      <c r="BC44" s="133">
        <f>'Token Demand (5yr)'!BC31</f>
        <v/>
      </c>
      <c r="BD44" s="133">
        <f>'Token Demand (5yr)'!BD31</f>
        <v/>
      </c>
      <c r="BE44" s="133">
        <f>'Token Demand (5yr)'!BE31</f>
        <v/>
      </c>
      <c r="BF44" s="133">
        <f>'Token Demand (5yr)'!BF31</f>
        <v/>
      </c>
      <c r="BG44" s="133">
        <f>'Token Demand (5yr)'!BG31</f>
        <v/>
      </c>
      <c r="BH44" s="133">
        <f>'Token Demand (5yr)'!BH31</f>
        <v/>
      </c>
      <c r="BI44" s="133">
        <f>'Token Demand (5yr)'!BI31</f>
        <v/>
      </c>
    </row>
    <row r="45">
      <c r="A45" s="38" t="inlineStr">
        <is>
          <t>Token Pool Swap Fee Revshare</t>
        </is>
      </c>
      <c r="B45" s="133">
        <f>'Token Demand (5yr)'!B26</f>
        <v/>
      </c>
      <c r="C45" s="133">
        <f>'Token Demand (5yr)'!C26</f>
        <v/>
      </c>
      <c r="D45" s="133">
        <f>'Token Demand (5yr)'!D26</f>
        <v/>
      </c>
      <c r="E45" s="133">
        <f>'Token Demand (5yr)'!E26</f>
        <v/>
      </c>
      <c r="F45" s="133">
        <f>'Token Demand (5yr)'!F26</f>
        <v/>
      </c>
      <c r="G45" s="133">
        <f>'Token Demand (5yr)'!G26</f>
        <v/>
      </c>
      <c r="H45" s="133">
        <f>'Token Demand (5yr)'!H26</f>
        <v/>
      </c>
      <c r="I45" s="133">
        <f>'Token Demand (5yr)'!I26</f>
        <v/>
      </c>
      <c r="J45" s="133">
        <f>'Token Demand (5yr)'!J26</f>
        <v/>
      </c>
      <c r="K45" s="133">
        <f>'Token Demand (5yr)'!K33</f>
        <v/>
      </c>
      <c r="L45" s="133">
        <f>'Token Demand (5yr)'!L33</f>
        <v/>
      </c>
      <c r="M45" s="133">
        <f>'Token Demand (5yr)'!M33</f>
        <v/>
      </c>
      <c r="N45" s="133">
        <f>'Token Demand (5yr)'!N33</f>
        <v/>
      </c>
      <c r="O45" s="133">
        <f>'Token Demand (5yr)'!O33</f>
        <v/>
      </c>
      <c r="P45" s="133">
        <f>'Token Demand (5yr)'!P33</f>
        <v/>
      </c>
      <c r="Q45" s="133">
        <f>'Token Demand (5yr)'!Q33</f>
        <v/>
      </c>
      <c r="R45" s="133">
        <f>'Token Demand (5yr)'!R33</f>
        <v/>
      </c>
      <c r="S45" s="133">
        <f>'Token Demand (5yr)'!S33</f>
        <v/>
      </c>
      <c r="T45" s="133">
        <f>'Token Demand (5yr)'!T33</f>
        <v/>
      </c>
      <c r="U45" s="133">
        <f>'Token Demand (5yr)'!U33</f>
        <v/>
      </c>
      <c r="V45" s="133">
        <f>'Token Demand (5yr)'!V33</f>
        <v/>
      </c>
      <c r="W45" s="133">
        <f>'Token Demand (5yr)'!W33</f>
        <v/>
      </c>
      <c r="X45" s="133">
        <f>'Token Demand (5yr)'!X33</f>
        <v/>
      </c>
      <c r="Y45" s="133">
        <f>'Token Demand (5yr)'!Y33</f>
        <v/>
      </c>
      <c r="Z45" s="133">
        <f>'Token Demand (5yr)'!Z33</f>
        <v/>
      </c>
      <c r="AA45" s="133">
        <f>'Token Demand (5yr)'!AA33</f>
        <v/>
      </c>
      <c r="AB45" s="133">
        <f>'Token Demand (5yr)'!AB33</f>
        <v/>
      </c>
      <c r="AC45" s="133">
        <f>'Token Demand (5yr)'!AC33</f>
        <v/>
      </c>
      <c r="AD45" s="133">
        <f>'Token Demand (5yr)'!AD33</f>
        <v/>
      </c>
      <c r="AE45" s="133">
        <f>'Token Demand (5yr)'!AE33</f>
        <v/>
      </c>
      <c r="AF45" s="133">
        <f>'Token Demand (5yr)'!AF33</f>
        <v/>
      </c>
      <c r="AG45" s="133">
        <f>'Token Demand (5yr)'!AG33</f>
        <v/>
      </c>
      <c r="AH45" s="133">
        <f>'Token Demand (5yr)'!AH33</f>
        <v/>
      </c>
      <c r="AI45" s="133">
        <f>'Token Demand (5yr)'!AI33</f>
        <v/>
      </c>
      <c r="AJ45" s="133">
        <f>'Token Demand (5yr)'!AJ33</f>
        <v/>
      </c>
      <c r="AK45" s="133">
        <f>'Token Demand (5yr)'!AK33</f>
        <v/>
      </c>
      <c r="AL45" s="133">
        <f>'Token Demand (5yr)'!AL33</f>
        <v/>
      </c>
      <c r="AM45" s="133">
        <f>'Token Demand (5yr)'!AM33</f>
        <v/>
      </c>
      <c r="AN45" s="133">
        <f>'Token Demand (5yr)'!AN33</f>
        <v/>
      </c>
      <c r="AO45" s="133">
        <f>'Token Demand (5yr)'!AO33</f>
        <v/>
      </c>
      <c r="AP45" s="133">
        <f>'Token Demand (5yr)'!AP33</f>
        <v/>
      </c>
      <c r="AQ45" s="133">
        <f>'Token Demand (5yr)'!AQ33</f>
        <v/>
      </c>
      <c r="AR45" s="133">
        <f>'Token Demand (5yr)'!AR33</f>
        <v/>
      </c>
      <c r="AS45" s="133">
        <f>'Token Demand (5yr)'!AS33</f>
        <v/>
      </c>
      <c r="AT45" s="133">
        <f>'Token Demand (5yr)'!AT33</f>
        <v/>
      </c>
      <c r="AU45" s="133">
        <f>'Token Demand (5yr)'!AU33</f>
        <v/>
      </c>
      <c r="AV45" s="133">
        <f>'Token Demand (5yr)'!AV33</f>
        <v/>
      </c>
      <c r="AW45" s="133">
        <f>'Token Demand (5yr)'!AW33</f>
        <v/>
      </c>
      <c r="AX45" s="133">
        <f>'Token Demand (5yr)'!AX33</f>
        <v/>
      </c>
      <c r="AY45" s="133">
        <f>'Token Demand (5yr)'!AY33</f>
        <v/>
      </c>
      <c r="AZ45" s="133">
        <f>'Token Demand (5yr)'!AZ33</f>
        <v/>
      </c>
      <c r="BA45" s="133">
        <f>'Token Demand (5yr)'!BA33</f>
        <v/>
      </c>
      <c r="BB45" s="133">
        <f>'Token Demand (5yr)'!BB33</f>
        <v/>
      </c>
      <c r="BC45" s="133">
        <f>'Token Demand (5yr)'!BC33</f>
        <v/>
      </c>
      <c r="BD45" s="133">
        <f>'Token Demand (5yr)'!BD33</f>
        <v/>
      </c>
      <c r="BE45" s="133">
        <f>'Token Demand (5yr)'!BE33</f>
        <v/>
      </c>
      <c r="BF45" s="133">
        <f>'Token Demand (5yr)'!BF33</f>
        <v/>
      </c>
      <c r="BG45" s="133">
        <f>'Token Demand (5yr)'!BG33</f>
        <v/>
      </c>
      <c r="BH45" s="133">
        <f>'Token Demand (5yr)'!BH33</f>
        <v/>
      </c>
      <c r="BI45" s="133">
        <f>'Token Demand (5yr)'!BI33</f>
        <v/>
      </c>
    </row>
    <row r="46">
      <c r="A46" s="38" t="inlineStr">
        <is>
          <t>Market Making Spread Revenue</t>
        </is>
      </c>
      <c r="B46" s="133" t="n">
        <v>0</v>
      </c>
      <c r="C46" s="133" t="n">
        <v>0</v>
      </c>
      <c r="D46" s="133" t="n">
        <v>0</v>
      </c>
      <c r="E46" s="133" t="n">
        <v>0</v>
      </c>
      <c r="F46" s="133" t="n">
        <v>0</v>
      </c>
      <c r="G46" s="133" t="n">
        <v>0</v>
      </c>
      <c r="H46" s="133" t="n">
        <v>0</v>
      </c>
      <c r="I46" s="133" t="n">
        <v>0</v>
      </c>
      <c r="J46" s="133" t="n">
        <v>0</v>
      </c>
      <c r="K46" s="133">
        <f>'Token Demand (5yr)'!K53</f>
        <v/>
      </c>
      <c r="L46" s="133">
        <f>'Token Demand (5yr)'!L53</f>
        <v/>
      </c>
      <c r="M46" s="133">
        <f>'Token Demand (5yr)'!M53</f>
        <v/>
      </c>
      <c r="N46" s="133">
        <f>'Token Demand (5yr)'!N53</f>
        <v/>
      </c>
      <c r="O46" s="133">
        <f>'Token Demand (5yr)'!O53</f>
        <v/>
      </c>
      <c r="P46" s="133">
        <f>'Token Demand (5yr)'!P53</f>
        <v/>
      </c>
      <c r="Q46" s="133">
        <f>'Token Demand (5yr)'!Q53</f>
        <v/>
      </c>
      <c r="R46" s="133">
        <f>'Token Demand (5yr)'!R53</f>
        <v/>
      </c>
      <c r="S46" s="133">
        <f>'Token Demand (5yr)'!S53</f>
        <v/>
      </c>
      <c r="T46" s="133">
        <f>'Token Demand (5yr)'!T53</f>
        <v/>
      </c>
      <c r="U46" s="133">
        <f>'Token Demand (5yr)'!U53</f>
        <v/>
      </c>
      <c r="V46" s="133">
        <f>'Token Demand (5yr)'!V53</f>
        <v/>
      </c>
      <c r="W46" s="133">
        <f>'Token Demand (5yr)'!W53</f>
        <v/>
      </c>
      <c r="X46" s="133">
        <f>'Token Demand (5yr)'!X53</f>
        <v/>
      </c>
      <c r="Y46" s="133">
        <f>'Token Demand (5yr)'!Y53</f>
        <v/>
      </c>
      <c r="Z46" s="133">
        <f>'Token Demand (5yr)'!Z53</f>
        <v/>
      </c>
      <c r="AA46" s="133">
        <f>'Token Demand (5yr)'!AA53</f>
        <v/>
      </c>
      <c r="AB46" s="133">
        <f>'Token Demand (5yr)'!AB53</f>
        <v/>
      </c>
      <c r="AC46" s="133">
        <f>'Token Demand (5yr)'!AC53</f>
        <v/>
      </c>
      <c r="AD46" s="133">
        <f>'Token Demand (5yr)'!AD53</f>
        <v/>
      </c>
      <c r="AE46" s="133">
        <f>'Token Demand (5yr)'!AE53</f>
        <v/>
      </c>
      <c r="AF46" s="133">
        <f>'Token Demand (5yr)'!AF53</f>
        <v/>
      </c>
      <c r="AG46" s="133">
        <f>'Token Demand (5yr)'!AG53</f>
        <v/>
      </c>
      <c r="AH46" s="133">
        <f>'Token Demand (5yr)'!AH53</f>
        <v/>
      </c>
      <c r="AI46" s="133">
        <f>'Token Demand (5yr)'!AI53</f>
        <v/>
      </c>
      <c r="AJ46" s="133">
        <f>'Token Demand (5yr)'!AJ53</f>
        <v/>
      </c>
      <c r="AK46" s="133">
        <f>'Token Demand (5yr)'!AK53</f>
        <v/>
      </c>
      <c r="AL46" s="133">
        <f>'Token Demand (5yr)'!AL53</f>
        <v/>
      </c>
      <c r="AM46" s="133">
        <f>'Token Demand (5yr)'!AM53</f>
        <v/>
      </c>
      <c r="AN46" s="133">
        <f>'Token Demand (5yr)'!AN53</f>
        <v/>
      </c>
      <c r="AO46" s="133">
        <f>'Token Demand (5yr)'!AO53</f>
        <v/>
      </c>
      <c r="AP46" s="133">
        <f>'Token Demand (5yr)'!AP53</f>
        <v/>
      </c>
      <c r="AQ46" s="133">
        <f>'Token Demand (5yr)'!AQ53</f>
        <v/>
      </c>
      <c r="AR46" s="133">
        <f>'Token Demand (5yr)'!AR53</f>
        <v/>
      </c>
      <c r="AS46" s="133">
        <f>'Token Demand (5yr)'!AS53</f>
        <v/>
      </c>
      <c r="AT46" s="133">
        <f>'Token Demand (5yr)'!AT53</f>
        <v/>
      </c>
      <c r="AU46" s="133">
        <f>'Token Demand (5yr)'!AU53</f>
        <v/>
      </c>
      <c r="AV46" s="133">
        <f>'Token Demand (5yr)'!AV53</f>
        <v/>
      </c>
      <c r="AW46" s="133">
        <f>'Token Demand (5yr)'!AW53</f>
        <v/>
      </c>
      <c r="AX46" s="133">
        <f>'Token Demand (5yr)'!AX53</f>
        <v/>
      </c>
      <c r="AY46" s="133">
        <f>'Token Demand (5yr)'!AY53</f>
        <v/>
      </c>
      <c r="AZ46" s="133">
        <f>'Token Demand (5yr)'!AZ53</f>
        <v/>
      </c>
      <c r="BA46" s="133">
        <f>'Token Demand (5yr)'!BA53</f>
        <v/>
      </c>
      <c r="BB46" s="133">
        <f>'Token Demand (5yr)'!BB53</f>
        <v/>
      </c>
      <c r="BC46" s="133">
        <f>'Token Demand (5yr)'!BC53</f>
        <v/>
      </c>
      <c r="BD46" s="133">
        <f>'Token Demand (5yr)'!BD53</f>
        <v/>
      </c>
      <c r="BE46" s="133">
        <f>'Token Demand (5yr)'!BE53</f>
        <v/>
      </c>
      <c r="BF46" s="133">
        <f>'Token Demand (5yr)'!BF53</f>
        <v/>
      </c>
      <c r="BG46" s="133">
        <f>'Token Demand (5yr)'!BG53</f>
        <v/>
      </c>
      <c r="BH46" s="133">
        <f>'Token Demand (5yr)'!BH53</f>
        <v/>
      </c>
      <c r="BI46" s="133">
        <f>'Token Demand (5yr)'!BI53</f>
        <v/>
      </c>
    </row>
    <row r="47">
      <c r="A47" s="108" t="inlineStr">
        <is>
          <t>Total Revenue</t>
        </is>
      </c>
      <c r="B47" s="261">
        <f>SUM(B44:B46)</f>
        <v/>
      </c>
      <c r="C47" s="261">
        <f>SUM(C44:C46)</f>
        <v/>
      </c>
      <c r="D47" s="261">
        <f>SUM(D44:D46)</f>
        <v/>
      </c>
      <c r="E47" s="261">
        <f>SUM(E44:E46)</f>
        <v/>
      </c>
      <c r="F47" s="261">
        <f>SUM(F44:F46)</f>
        <v/>
      </c>
      <c r="G47" s="261">
        <f>SUM(G44:G46)</f>
        <v/>
      </c>
      <c r="H47" s="261">
        <f>SUM(H44:H46)</f>
        <v/>
      </c>
      <c r="I47" s="261">
        <f>SUM(I44:I46)</f>
        <v/>
      </c>
      <c r="J47" s="261">
        <f>SUM(J44:J46)</f>
        <v/>
      </c>
      <c r="K47" s="261">
        <f>SUM(K44:K46)</f>
        <v/>
      </c>
      <c r="L47" s="261">
        <f>SUM(L44:L46)</f>
        <v/>
      </c>
      <c r="M47" s="261">
        <f>SUM(M44:M46)</f>
        <v/>
      </c>
      <c r="N47" s="261">
        <f>SUM(N44:N46)</f>
        <v/>
      </c>
      <c r="O47" s="261">
        <f>SUM(O44:O46)</f>
        <v/>
      </c>
      <c r="P47" s="261">
        <f>SUM(P44:P46)</f>
        <v/>
      </c>
      <c r="Q47" s="261">
        <f>SUM(Q44:Q46)</f>
        <v/>
      </c>
      <c r="R47" s="261">
        <f>SUM(R44:R46)</f>
        <v/>
      </c>
      <c r="S47" s="261">
        <f>SUM(S44:S46)</f>
        <v/>
      </c>
      <c r="T47" s="261">
        <f>SUM(T44:T46)</f>
        <v/>
      </c>
      <c r="U47" s="261">
        <f>SUM(U44:U46)</f>
        <v/>
      </c>
      <c r="V47" s="261">
        <f>SUM(V44:V46)</f>
        <v/>
      </c>
      <c r="W47" s="261">
        <f>SUM(W44:W46)</f>
        <v/>
      </c>
      <c r="X47" s="261">
        <f>SUM(X44:X46)</f>
        <v/>
      </c>
      <c r="Y47" s="261">
        <f>SUM(Y44:Y46)</f>
        <v/>
      </c>
      <c r="Z47" s="261">
        <f>SUM(Z44:Z46)</f>
        <v/>
      </c>
      <c r="AA47" s="261">
        <f>SUM(AA44:AA46)</f>
        <v/>
      </c>
      <c r="AB47" s="261">
        <f>SUM(AB44:AB46)</f>
        <v/>
      </c>
      <c r="AC47" s="261">
        <f>SUM(AC44:AC46)</f>
        <v/>
      </c>
      <c r="AD47" s="261">
        <f>SUM(AD44:AD46)</f>
        <v/>
      </c>
      <c r="AE47" s="261">
        <f>SUM(AE44:AE46)</f>
        <v/>
      </c>
      <c r="AF47" s="261">
        <f>SUM(AF44:AF46)</f>
        <v/>
      </c>
      <c r="AG47" s="261">
        <f>SUM(AG44:AG46)</f>
        <v/>
      </c>
      <c r="AH47" s="261">
        <f>SUM(AH44:AH46)</f>
        <v/>
      </c>
      <c r="AI47" s="261">
        <f>SUM(AI44:AI46)</f>
        <v/>
      </c>
      <c r="AJ47" s="261">
        <f>SUM(AJ44:AJ46)</f>
        <v/>
      </c>
      <c r="AK47" s="261">
        <f>SUM(AK44:AK46)</f>
        <v/>
      </c>
      <c r="AL47" s="261">
        <f>SUM(AL44:AL46)</f>
        <v/>
      </c>
      <c r="AM47" s="261">
        <f>SUM(AM44:AM46)</f>
        <v/>
      </c>
      <c r="AN47" s="261">
        <f>SUM(AN44:AN46)</f>
        <v/>
      </c>
      <c r="AO47" s="261">
        <f>SUM(AO44:AO46)</f>
        <v/>
      </c>
      <c r="AP47" s="261">
        <f>SUM(AP44:AP46)</f>
        <v/>
      </c>
      <c r="AQ47" s="261">
        <f>SUM(AQ44:AQ46)</f>
        <v/>
      </c>
      <c r="AR47" s="261">
        <f>SUM(AR44:AR46)</f>
        <v/>
      </c>
      <c r="AS47" s="261">
        <f>SUM(AS44:AS46)</f>
        <v/>
      </c>
      <c r="AT47" s="261">
        <f>SUM(AT44:AT46)</f>
        <v/>
      </c>
      <c r="AU47" s="261">
        <f>SUM(AU44:AU46)</f>
        <v/>
      </c>
      <c r="AV47" s="261">
        <f>SUM(AV44:AV46)</f>
        <v/>
      </c>
      <c r="AW47" s="261">
        <f>SUM(AW44:AW46)</f>
        <v/>
      </c>
      <c r="AX47" s="261">
        <f>SUM(AX44:AX46)</f>
        <v/>
      </c>
      <c r="AY47" s="261">
        <f>SUM(AY44:AY46)</f>
        <v/>
      </c>
      <c r="AZ47" s="261">
        <f>SUM(AZ44:AZ46)</f>
        <v/>
      </c>
      <c r="BA47" s="261">
        <f>SUM(BA44:BA46)</f>
        <v/>
      </c>
      <c r="BB47" s="261">
        <f>SUM(BB44:BB46)</f>
        <v/>
      </c>
      <c r="BC47" s="261">
        <f>SUM(BC44:BC46)</f>
        <v/>
      </c>
      <c r="BD47" s="261">
        <f>SUM(BD44:BD46)</f>
        <v/>
      </c>
      <c r="BE47" s="261">
        <f>SUM(BE44:BE46)</f>
        <v/>
      </c>
      <c r="BF47" s="261">
        <f>SUM(BF44:BF46)</f>
        <v/>
      </c>
      <c r="BG47" s="261">
        <f>SUM(BG44:BG46)</f>
        <v/>
      </c>
      <c r="BH47" s="261">
        <f>SUM(BH44:BH46)</f>
        <v/>
      </c>
      <c r="BI47" s="261">
        <f>SUM(BI44:BI46)</f>
        <v/>
      </c>
    </row>
    <row r="48">
      <c r="A48" s="128" t="n"/>
      <c r="B48" s="128" t="n"/>
      <c r="C48" s="128" t="n"/>
      <c r="D48" s="128" t="n"/>
      <c r="E48" s="128" t="n"/>
      <c r="F48" s="128" t="n"/>
      <c r="G48" s="128" t="n"/>
      <c r="H48" s="128" t="n"/>
      <c r="I48" s="128" t="n"/>
      <c r="J48" s="128" t="n"/>
      <c r="K48" s="128" t="n"/>
      <c r="L48" s="128" t="n"/>
      <c r="M48" s="128" t="n"/>
      <c r="N48" s="128" t="n"/>
      <c r="O48" s="128" t="n"/>
      <c r="P48" s="128" t="n"/>
      <c r="Q48" s="128" t="n"/>
      <c r="R48" s="128" t="n"/>
      <c r="S48" s="128" t="n"/>
      <c r="T48" s="128" t="n"/>
      <c r="U48" s="128" t="n"/>
      <c r="V48" s="128" t="n"/>
      <c r="W48" s="128" t="n"/>
      <c r="X48" s="128" t="n"/>
      <c r="Y48" s="128" t="n"/>
      <c r="Z48" s="206" t="n"/>
      <c r="AA48" s="206" t="n"/>
      <c r="AB48" s="206" t="n"/>
      <c r="AC48" s="206" t="n"/>
      <c r="AD48" s="206" t="n"/>
      <c r="AE48" s="206" t="n"/>
      <c r="AF48" s="206" t="n"/>
      <c r="AG48" s="206" t="n"/>
      <c r="AH48" s="206" t="n"/>
      <c r="AI48" s="206" t="n"/>
      <c r="AJ48" s="206" t="n"/>
      <c r="AK48" s="206" t="n"/>
      <c r="AL48" s="206" t="n"/>
      <c r="AM48" s="206" t="n"/>
      <c r="AN48" s="206" t="n"/>
      <c r="AO48" s="206" t="n"/>
      <c r="AP48" s="206" t="n"/>
      <c r="AQ48" s="206" t="n"/>
      <c r="AR48" s="206" t="n"/>
      <c r="AS48" s="206" t="n"/>
      <c r="AT48" s="206" t="n"/>
      <c r="AU48" s="206" t="n"/>
      <c r="AV48" s="206" t="n"/>
      <c r="AW48" s="206" t="n"/>
      <c r="AX48" s="206" t="n"/>
      <c r="AY48" s="206" t="n"/>
      <c r="AZ48" s="206" t="n"/>
      <c r="BA48" s="206" t="n"/>
      <c r="BB48" s="206" t="n"/>
      <c r="BC48" s="206" t="n"/>
      <c r="BD48" s="206" t="n"/>
      <c r="BE48" s="206" t="n"/>
      <c r="BF48" s="206" t="n"/>
      <c r="BG48" s="206" t="n"/>
      <c r="BH48" s="206" t="n"/>
      <c r="BI48" s="206" t="n"/>
    </row>
    <row r="49">
      <c r="A49" s="36" t="inlineStr">
        <is>
          <t>Summary</t>
        </is>
      </c>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row>
    <row r="50">
      <c r="A50" s="38" t="inlineStr">
        <is>
          <t>Operating Expenses</t>
        </is>
      </c>
      <c r="B50" s="133">
        <f>-B41</f>
        <v/>
      </c>
      <c r="C50" s="133">
        <f>-C41</f>
        <v/>
      </c>
      <c r="D50" s="133">
        <f>-D41</f>
        <v/>
      </c>
      <c r="E50" s="133">
        <f>-E41</f>
        <v/>
      </c>
      <c r="F50" s="133">
        <f>-F41</f>
        <v/>
      </c>
      <c r="G50" s="133">
        <f>-G41</f>
        <v/>
      </c>
      <c r="H50" s="133">
        <f>-H41</f>
        <v/>
      </c>
      <c r="I50" s="133">
        <f>-I41</f>
        <v/>
      </c>
      <c r="J50" s="133">
        <f>-J41</f>
        <v/>
      </c>
      <c r="K50" s="133">
        <f>-K41</f>
        <v/>
      </c>
      <c r="L50" s="133">
        <f>-L41</f>
        <v/>
      </c>
      <c r="M50" s="133">
        <f>-M41</f>
        <v/>
      </c>
      <c r="N50" s="133">
        <f>-N41</f>
        <v/>
      </c>
      <c r="O50" s="133">
        <f>-O41</f>
        <v/>
      </c>
      <c r="P50" s="133">
        <f>-P41</f>
        <v/>
      </c>
      <c r="Q50" s="133">
        <f>-Q41</f>
        <v/>
      </c>
      <c r="R50" s="133">
        <f>-R41</f>
        <v/>
      </c>
      <c r="S50" s="133">
        <f>-S41</f>
        <v/>
      </c>
      <c r="T50" s="133">
        <f>-T41</f>
        <v/>
      </c>
      <c r="U50" s="133">
        <f>-U41</f>
        <v/>
      </c>
      <c r="V50" s="133">
        <f>-V41</f>
        <v/>
      </c>
      <c r="W50" s="133">
        <f>-W41</f>
        <v/>
      </c>
      <c r="X50" s="133">
        <f>-X41</f>
        <v/>
      </c>
      <c r="Y50" s="133">
        <f>-Y41</f>
        <v/>
      </c>
      <c r="Z50" s="133">
        <f>-Z41</f>
        <v/>
      </c>
      <c r="AA50" s="133">
        <f>-AA41</f>
        <v/>
      </c>
      <c r="AB50" s="133">
        <f>-AB41</f>
        <v/>
      </c>
      <c r="AC50" s="133">
        <f>-AC41</f>
        <v/>
      </c>
      <c r="AD50" s="133">
        <f>-AD41</f>
        <v/>
      </c>
      <c r="AE50" s="133">
        <f>-AE41</f>
        <v/>
      </c>
      <c r="AF50" s="133">
        <f>-AF41</f>
        <v/>
      </c>
      <c r="AG50" s="133">
        <f>-AG41</f>
        <v/>
      </c>
      <c r="AH50" s="133">
        <f>-AH41</f>
        <v/>
      </c>
      <c r="AI50" s="133">
        <f>-AI41</f>
        <v/>
      </c>
      <c r="AJ50" s="133">
        <f>-AJ41</f>
        <v/>
      </c>
      <c r="AK50" s="133">
        <f>-AK41</f>
        <v/>
      </c>
      <c r="AL50" s="133">
        <f>-AL41</f>
        <v/>
      </c>
      <c r="AM50" s="133">
        <f>-AM41</f>
        <v/>
      </c>
      <c r="AN50" s="133">
        <f>-AN41</f>
        <v/>
      </c>
      <c r="AO50" s="133">
        <f>-AO41</f>
        <v/>
      </c>
      <c r="AP50" s="133">
        <f>-AP41</f>
        <v/>
      </c>
      <c r="AQ50" s="133">
        <f>-AQ41</f>
        <v/>
      </c>
      <c r="AR50" s="133">
        <f>-AR41</f>
        <v/>
      </c>
      <c r="AS50" s="133">
        <f>-AS41</f>
        <v/>
      </c>
      <c r="AT50" s="133">
        <f>-AT41</f>
        <v/>
      </c>
      <c r="AU50" s="133">
        <f>-AU41</f>
        <v/>
      </c>
      <c r="AV50" s="133">
        <f>-AV41</f>
        <v/>
      </c>
      <c r="AW50" s="133">
        <f>-AW41</f>
        <v/>
      </c>
      <c r="AX50" s="133">
        <f>-AX41</f>
        <v/>
      </c>
      <c r="AY50" s="133">
        <f>-AY41</f>
        <v/>
      </c>
      <c r="AZ50" s="133">
        <f>-AZ41</f>
        <v/>
      </c>
      <c r="BA50" s="133">
        <f>-BA41</f>
        <v/>
      </c>
      <c r="BB50" s="133">
        <f>-BB41</f>
        <v/>
      </c>
      <c r="BC50" s="133">
        <f>-BC41</f>
        <v/>
      </c>
      <c r="BD50" s="133">
        <f>-BD41</f>
        <v/>
      </c>
      <c r="BE50" s="133">
        <f>-BE41</f>
        <v/>
      </c>
      <c r="BF50" s="133">
        <f>-BF41</f>
        <v/>
      </c>
      <c r="BG50" s="133">
        <f>-BG41</f>
        <v/>
      </c>
      <c r="BH50" s="133">
        <f>-BH41</f>
        <v/>
      </c>
      <c r="BI50" s="133">
        <f>-BI41</f>
        <v/>
      </c>
    </row>
    <row r="51">
      <c r="A51" s="38" t="inlineStr">
        <is>
          <t>Capital Activities</t>
        </is>
      </c>
      <c r="B51" s="133">
        <f>B36</f>
        <v/>
      </c>
      <c r="C51" s="133">
        <f>C36</f>
        <v/>
      </c>
      <c r="D51" s="133">
        <f>D36</f>
        <v/>
      </c>
      <c r="E51" s="133">
        <f>E36</f>
        <v/>
      </c>
      <c r="F51" s="133">
        <f>F36</f>
        <v/>
      </c>
      <c r="G51" s="133">
        <f>G36</f>
        <v/>
      </c>
      <c r="H51" s="133">
        <f>H36</f>
        <v/>
      </c>
      <c r="I51" s="133">
        <f>I36</f>
        <v/>
      </c>
      <c r="J51" s="133">
        <f>J36</f>
        <v/>
      </c>
      <c r="K51" s="133">
        <f>K36</f>
        <v/>
      </c>
      <c r="L51" s="133">
        <f>L36</f>
        <v/>
      </c>
      <c r="M51" s="133">
        <f>M36</f>
        <v/>
      </c>
      <c r="N51" s="133">
        <f>N36</f>
        <v/>
      </c>
      <c r="O51" s="133">
        <f>O36</f>
        <v/>
      </c>
      <c r="P51" s="133">
        <f>P36</f>
        <v/>
      </c>
      <c r="Q51" s="133">
        <f>Q36</f>
        <v/>
      </c>
      <c r="R51" s="133">
        <f>R36</f>
        <v/>
      </c>
      <c r="S51" s="133">
        <f>S36</f>
        <v/>
      </c>
      <c r="T51" s="133">
        <f>T36</f>
        <v/>
      </c>
      <c r="U51" s="133">
        <f>U36</f>
        <v/>
      </c>
      <c r="V51" s="133">
        <f>V36</f>
        <v/>
      </c>
      <c r="W51" s="133">
        <f>W36</f>
        <v/>
      </c>
      <c r="X51" s="133">
        <f>X36</f>
        <v/>
      </c>
      <c r="Y51" s="133">
        <f>Y36</f>
        <v/>
      </c>
      <c r="Z51" s="133">
        <f>Z36</f>
        <v/>
      </c>
      <c r="AA51" s="133">
        <f>AA36</f>
        <v/>
      </c>
      <c r="AB51" s="133">
        <f>AB36</f>
        <v/>
      </c>
      <c r="AC51" s="133">
        <f>AC36</f>
        <v/>
      </c>
      <c r="AD51" s="133">
        <f>AD36</f>
        <v/>
      </c>
      <c r="AE51" s="133">
        <f>AE36</f>
        <v/>
      </c>
      <c r="AF51" s="133">
        <f>AF36</f>
        <v/>
      </c>
      <c r="AG51" s="133">
        <f>AG36</f>
        <v/>
      </c>
      <c r="AH51" s="133">
        <f>AH36</f>
        <v/>
      </c>
      <c r="AI51" s="133">
        <f>AI36</f>
        <v/>
      </c>
      <c r="AJ51" s="133">
        <f>AJ36</f>
        <v/>
      </c>
      <c r="AK51" s="133">
        <f>AK36</f>
        <v/>
      </c>
      <c r="AL51" s="133">
        <f>AL36</f>
        <v/>
      </c>
      <c r="AM51" s="133">
        <f>AM36</f>
        <v/>
      </c>
      <c r="AN51" s="133">
        <f>AN36</f>
        <v/>
      </c>
      <c r="AO51" s="133">
        <f>AO36</f>
        <v/>
      </c>
      <c r="AP51" s="133">
        <f>AP36</f>
        <v/>
      </c>
      <c r="AQ51" s="133">
        <f>AQ36</f>
        <v/>
      </c>
      <c r="AR51" s="133">
        <f>AR36</f>
        <v/>
      </c>
      <c r="AS51" s="133">
        <f>AS36</f>
        <v/>
      </c>
      <c r="AT51" s="133">
        <f>AT36</f>
        <v/>
      </c>
      <c r="AU51" s="133">
        <f>AU36</f>
        <v/>
      </c>
      <c r="AV51" s="133">
        <f>AV36</f>
        <v/>
      </c>
      <c r="AW51" s="133">
        <f>AW36</f>
        <v/>
      </c>
      <c r="AX51" s="133">
        <f>AX36</f>
        <v/>
      </c>
      <c r="AY51" s="133">
        <f>AY36</f>
        <v/>
      </c>
      <c r="AZ51" s="133">
        <f>AZ36</f>
        <v/>
      </c>
      <c r="BA51" s="133">
        <f>BA36</f>
        <v/>
      </c>
      <c r="BB51" s="133">
        <f>BB36</f>
        <v/>
      </c>
      <c r="BC51" s="133">
        <f>BC36</f>
        <v/>
      </c>
      <c r="BD51" s="133">
        <f>BD36</f>
        <v/>
      </c>
      <c r="BE51" s="133">
        <f>BE36</f>
        <v/>
      </c>
      <c r="BF51" s="133">
        <f>BF36</f>
        <v/>
      </c>
      <c r="BG51" s="133">
        <f>BG36</f>
        <v/>
      </c>
      <c r="BH51" s="133">
        <f>BH36</f>
        <v/>
      </c>
      <c r="BI51" s="133">
        <f>BI36</f>
        <v/>
      </c>
    </row>
    <row r="52">
      <c r="A52" s="38" t="inlineStr">
        <is>
          <t>Revenue</t>
        </is>
      </c>
      <c r="B52" s="133">
        <f>B47</f>
        <v/>
      </c>
      <c r="C52" s="133">
        <f>C47</f>
        <v/>
      </c>
      <c r="D52" s="133">
        <f>D47</f>
        <v/>
      </c>
      <c r="E52" s="133">
        <f>E47</f>
        <v/>
      </c>
      <c r="F52" s="133">
        <f>F47</f>
        <v/>
      </c>
      <c r="G52" s="133">
        <f>G47</f>
        <v/>
      </c>
      <c r="H52" s="133">
        <f>H47</f>
        <v/>
      </c>
      <c r="I52" s="133">
        <f>I47</f>
        <v/>
      </c>
      <c r="J52" s="133">
        <f>J47</f>
        <v/>
      </c>
      <c r="K52" s="133">
        <f>K47</f>
        <v/>
      </c>
      <c r="L52" s="133">
        <f>L47</f>
        <v/>
      </c>
      <c r="M52" s="133">
        <f>M47</f>
        <v/>
      </c>
      <c r="N52" s="133">
        <f>N47</f>
        <v/>
      </c>
      <c r="O52" s="133">
        <f>O47</f>
        <v/>
      </c>
      <c r="P52" s="133">
        <f>P47</f>
        <v/>
      </c>
      <c r="Q52" s="133">
        <f>Q47</f>
        <v/>
      </c>
      <c r="R52" s="133">
        <f>R47</f>
        <v/>
      </c>
      <c r="S52" s="133">
        <f>S47</f>
        <v/>
      </c>
      <c r="T52" s="133">
        <f>T47</f>
        <v/>
      </c>
      <c r="U52" s="133">
        <f>U47</f>
        <v/>
      </c>
      <c r="V52" s="133">
        <f>V47</f>
        <v/>
      </c>
      <c r="W52" s="133">
        <f>W47</f>
        <v/>
      </c>
      <c r="X52" s="133">
        <f>X47</f>
        <v/>
      </c>
      <c r="Y52" s="133">
        <f>Y47</f>
        <v/>
      </c>
      <c r="Z52" s="133">
        <f>Z47</f>
        <v/>
      </c>
      <c r="AA52" s="133">
        <f>AA47</f>
        <v/>
      </c>
      <c r="AB52" s="133">
        <f>AB47</f>
        <v/>
      </c>
      <c r="AC52" s="133">
        <f>AC47</f>
        <v/>
      </c>
      <c r="AD52" s="133">
        <f>AD47</f>
        <v/>
      </c>
      <c r="AE52" s="133">
        <f>AE47</f>
        <v/>
      </c>
      <c r="AF52" s="133">
        <f>AF47</f>
        <v/>
      </c>
      <c r="AG52" s="133">
        <f>AG47</f>
        <v/>
      </c>
      <c r="AH52" s="133">
        <f>AH47</f>
        <v/>
      </c>
      <c r="AI52" s="133">
        <f>AI47</f>
        <v/>
      </c>
      <c r="AJ52" s="133">
        <f>AJ47</f>
        <v/>
      </c>
      <c r="AK52" s="133">
        <f>AK47</f>
        <v/>
      </c>
      <c r="AL52" s="133">
        <f>AL47</f>
        <v/>
      </c>
      <c r="AM52" s="133">
        <f>AM47</f>
        <v/>
      </c>
      <c r="AN52" s="133">
        <f>AN47</f>
        <v/>
      </c>
      <c r="AO52" s="133">
        <f>AO47</f>
        <v/>
      </c>
      <c r="AP52" s="133">
        <f>AP47</f>
        <v/>
      </c>
      <c r="AQ52" s="133">
        <f>AQ47</f>
        <v/>
      </c>
      <c r="AR52" s="133">
        <f>AR47</f>
        <v/>
      </c>
      <c r="AS52" s="133">
        <f>AS47</f>
        <v/>
      </c>
      <c r="AT52" s="133">
        <f>AT47</f>
        <v/>
      </c>
      <c r="AU52" s="133">
        <f>AU47</f>
        <v/>
      </c>
      <c r="AV52" s="133">
        <f>AV47</f>
        <v/>
      </c>
      <c r="AW52" s="133">
        <f>AW47</f>
        <v/>
      </c>
      <c r="AX52" s="133">
        <f>AX47</f>
        <v/>
      </c>
      <c r="AY52" s="133">
        <f>AY47</f>
        <v/>
      </c>
      <c r="AZ52" s="133">
        <f>AZ47</f>
        <v/>
      </c>
      <c r="BA52" s="133">
        <f>BA47</f>
        <v/>
      </c>
      <c r="BB52" s="133">
        <f>BB47</f>
        <v/>
      </c>
      <c r="BC52" s="133">
        <f>BC47</f>
        <v/>
      </c>
      <c r="BD52" s="133">
        <f>BD47</f>
        <v/>
      </c>
      <c r="BE52" s="133">
        <f>BE47</f>
        <v/>
      </c>
      <c r="BF52" s="133">
        <f>BF47</f>
        <v/>
      </c>
      <c r="BG52" s="133">
        <f>BG47</f>
        <v/>
      </c>
      <c r="BH52" s="133">
        <f>BH47</f>
        <v/>
      </c>
      <c r="BI52" s="133">
        <f>BI47</f>
        <v/>
      </c>
    </row>
    <row r="53">
      <c r="A53" s="38" t="inlineStr">
        <is>
          <t>Net Cashflow</t>
        </is>
      </c>
      <c r="B53" s="133">
        <f>SUM(B50:B52)</f>
        <v/>
      </c>
      <c r="C53" s="133">
        <f>SUM(C50:C52)</f>
        <v/>
      </c>
      <c r="D53" s="133">
        <f>SUM(D50:D52)</f>
        <v/>
      </c>
      <c r="E53" s="133">
        <f>SUM(E50:E52)</f>
        <v/>
      </c>
      <c r="F53" s="133">
        <f>SUM(F50:F52)</f>
        <v/>
      </c>
      <c r="G53" s="133">
        <f>SUM(G50:G52)</f>
        <v/>
      </c>
      <c r="H53" s="133">
        <f>SUM(H50:H52)</f>
        <v/>
      </c>
      <c r="I53" s="133">
        <f>SUM(I50:I52)</f>
        <v/>
      </c>
      <c r="J53" s="133">
        <f>SUM(J50:J52)</f>
        <v/>
      </c>
      <c r="K53" s="133">
        <f>SUM(K50:K52)</f>
        <v/>
      </c>
      <c r="L53" s="133">
        <f>SUM(L50:L52)</f>
        <v/>
      </c>
      <c r="M53" s="133">
        <f>SUM(M50:M52)</f>
        <v/>
      </c>
      <c r="N53" s="133">
        <f>SUM(N50:N52)</f>
        <v/>
      </c>
      <c r="O53" s="133">
        <f>SUM(O50:O52)</f>
        <v/>
      </c>
      <c r="P53" s="133">
        <f>SUM(P50:P52)</f>
        <v/>
      </c>
      <c r="Q53" s="133">
        <f>SUM(Q50:Q52)</f>
        <v/>
      </c>
      <c r="R53" s="133">
        <f>SUM(R50:R52)</f>
        <v/>
      </c>
      <c r="S53" s="133">
        <f>SUM(S50:S52)</f>
        <v/>
      </c>
      <c r="T53" s="133">
        <f>SUM(T50:T52)</f>
        <v/>
      </c>
      <c r="U53" s="133">
        <f>SUM(U50:U52)</f>
        <v/>
      </c>
      <c r="V53" s="133">
        <f>SUM(V50:V52)</f>
        <v/>
      </c>
      <c r="W53" s="133">
        <f>SUM(W50:W52)</f>
        <v/>
      </c>
      <c r="X53" s="133">
        <f>SUM(X50:X52)</f>
        <v/>
      </c>
      <c r="Y53" s="133">
        <f>SUM(Y50:Y52)</f>
        <v/>
      </c>
      <c r="Z53" s="133">
        <f>SUM(Z50:Z52)</f>
        <v/>
      </c>
      <c r="AA53" s="133">
        <f>SUM(AA50:AA52)</f>
        <v/>
      </c>
      <c r="AB53" s="133">
        <f>SUM(AB50:AB52)</f>
        <v/>
      </c>
      <c r="AC53" s="133">
        <f>SUM(AC50:AC52)</f>
        <v/>
      </c>
      <c r="AD53" s="133">
        <f>SUM(AD50:AD52)</f>
        <v/>
      </c>
      <c r="AE53" s="133">
        <f>SUM(AE50:AE52)</f>
        <v/>
      </c>
      <c r="AF53" s="133">
        <f>SUM(AF50:AF52)</f>
        <v/>
      </c>
      <c r="AG53" s="133">
        <f>SUM(AG50:AG52)</f>
        <v/>
      </c>
      <c r="AH53" s="133">
        <f>SUM(AH50:AH52)</f>
        <v/>
      </c>
      <c r="AI53" s="133">
        <f>SUM(AI50:AI52)</f>
        <v/>
      </c>
      <c r="AJ53" s="133">
        <f>SUM(AJ50:AJ52)</f>
        <v/>
      </c>
      <c r="AK53" s="133">
        <f>SUM(AK50:AK52)</f>
        <v/>
      </c>
      <c r="AL53" s="133">
        <f>SUM(AL50:AL52)</f>
        <v/>
      </c>
      <c r="AM53" s="133">
        <f>SUM(AM50:AM52)</f>
        <v/>
      </c>
      <c r="AN53" s="133">
        <f>SUM(AN50:AN52)</f>
        <v/>
      </c>
      <c r="AO53" s="133">
        <f>SUM(AO50:AO52)</f>
        <v/>
      </c>
      <c r="AP53" s="133">
        <f>SUM(AP50:AP52)</f>
        <v/>
      </c>
      <c r="AQ53" s="133">
        <f>SUM(AQ50:AQ52)</f>
        <v/>
      </c>
      <c r="AR53" s="133">
        <f>SUM(AR50:AR52)</f>
        <v/>
      </c>
      <c r="AS53" s="133">
        <f>SUM(AS50:AS52)</f>
        <v/>
      </c>
      <c r="AT53" s="133">
        <f>SUM(AT50:AT52)</f>
        <v/>
      </c>
      <c r="AU53" s="133">
        <f>SUM(AU50:AU52)</f>
        <v/>
      </c>
      <c r="AV53" s="133">
        <f>SUM(AV50:AV52)</f>
        <v/>
      </c>
      <c r="AW53" s="133">
        <f>SUM(AW50:AW52)</f>
        <v/>
      </c>
      <c r="AX53" s="133">
        <f>SUM(AX50:AX52)</f>
        <v/>
      </c>
      <c r="AY53" s="133">
        <f>SUM(AY50:AY52)</f>
        <v/>
      </c>
      <c r="AZ53" s="133">
        <f>SUM(AZ50:AZ52)</f>
        <v/>
      </c>
      <c r="BA53" s="133">
        <f>SUM(BA50:BA52)</f>
        <v/>
      </c>
      <c r="BB53" s="133">
        <f>SUM(BB50:BB52)</f>
        <v/>
      </c>
      <c r="BC53" s="133">
        <f>SUM(BC50:BC52)</f>
        <v/>
      </c>
      <c r="BD53" s="133">
        <f>SUM(BD50:BD52)</f>
        <v/>
      </c>
      <c r="BE53" s="133">
        <f>SUM(BE50:BE52)</f>
        <v/>
      </c>
      <c r="BF53" s="133">
        <f>SUM(BF50:BF52)</f>
        <v/>
      </c>
      <c r="BG53" s="133">
        <f>SUM(BG50:BG52)</f>
        <v/>
      </c>
      <c r="BH53" s="133">
        <f>SUM(BH50:BH52)</f>
        <v/>
      </c>
      <c r="BI53" s="133">
        <f>SUM(BI50:BI52)</f>
        <v/>
      </c>
    </row>
    <row r="54">
      <c r="A54" s="207" t="inlineStr">
        <is>
          <t>Cash Position</t>
        </is>
      </c>
      <c r="B54" s="205">
        <f>B50+B36</f>
        <v/>
      </c>
      <c r="C54" s="205">
        <f>B54+C50+C36</f>
        <v/>
      </c>
      <c r="D54" s="205">
        <f>C54+D50+D36</f>
        <v/>
      </c>
      <c r="E54" s="205">
        <f>D54+E50+E36</f>
        <v/>
      </c>
      <c r="F54" s="205">
        <f>E54+F53</f>
        <v/>
      </c>
      <c r="G54" s="205">
        <f>F54+G53</f>
        <v/>
      </c>
      <c r="H54" s="205">
        <f>G54+H53</f>
        <v/>
      </c>
      <c r="I54" s="205">
        <f>H54+I53</f>
        <v/>
      </c>
      <c r="J54" s="205">
        <f>I54+J53</f>
        <v/>
      </c>
      <c r="K54" s="205">
        <f>J54+K53</f>
        <v/>
      </c>
      <c r="L54" s="205">
        <f>K54+L53</f>
        <v/>
      </c>
      <c r="M54" s="205">
        <f>L54+M53</f>
        <v/>
      </c>
      <c r="N54" s="205">
        <f>M54+N53</f>
        <v/>
      </c>
      <c r="O54" s="205">
        <f>N54+O53</f>
        <v/>
      </c>
      <c r="P54" s="205">
        <f>O54+P53</f>
        <v/>
      </c>
      <c r="Q54" s="205">
        <f>P54+Q53</f>
        <v/>
      </c>
      <c r="R54" s="205">
        <f>Q54+R53</f>
        <v/>
      </c>
      <c r="S54" s="205">
        <f>R54+S53</f>
        <v/>
      </c>
      <c r="T54" s="205">
        <f>S54+T53</f>
        <v/>
      </c>
      <c r="U54" s="205">
        <f>T54+U53</f>
        <v/>
      </c>
      <c r="V54" s="205">
        <f>U54+V53</f>
        <v/>
      </c>
      <c r="W54" s="205">
        <f>V54+W53</f>
        <v/>
      </c>
      <c r="X54" s="205">
        <f>W54+X53</f>
        <v/>
      </c>
      <c r="Y54" s="205">
        <f>X54+Y53</f>
        <v/>
      </c>
      <c r="Z54" s="205">
        <f>Y54+Z53</f>
        <v/>
      </c>
      <c r="AA54" s="205">
        <f>Z54+AA53</f>
        <v/>
      </c>
      <c r="AB54" s="205">
        <f>AA54+AB53</f>
        <v/>
      </c>
      <c r="AC54" s="205">
        <f>AB54+AC53</f>
        <v/>
      </c>
      <c r="AD54" s="205">
        <f>AC54+AD53</f>
        <v/>
      </c>
      <c r="AE54" s="205">
        <f>AD54+AE53</f>
        <v/>
      </c>
      <c r="AF54" s="205">
        <f>AE54+AF53</f>
        <v/>
      </c>
      <c r="AG54" s="205">
        <f>AF54+AG53</f>
        <v/>
      </c>
      <c r="AH54" s="205">
        <f>AG54+AH53</f>
        <v/>
      </c>
      <c r="AI54" s="205">
        <f>AH54+AI53</f>
        <v/>
      </c>
      <c r="AJ54" s="205">
        <f>AI54+AJ53</f>
        <v/>
      </c>
      <c r="AK54" s="205">
        <f>AJ54+AK53</f>
        <v/>
      </c>
      <c r="AL54" s="205">
        <f>AK54+AL53</f>
        <v/>
      </c>
      <c r="AM54" s="205">
        <f>AL54+AM53</f>
        <v/>
      </c>
      <c r="AN54" s="205">
        <f>AM54+AN53</f>
        <v/>
      </c>
      <c r="AO54" s="205">
        <f>AN54+AO53</f>
        <v/>
      </c>
      <c r="AP54" s="205">
        <f>AO54+AP53</f>
        <v/>
      </c>
      <c r="AQ54" s="205">
        <f>AP54+AQ53</f>
        <v/>
      </c>
      <c r="AR54" s="205">
        <f>AQ54+AR53</f>
        <v/>
      </c>
      <c r="AS54" s="205">
        <f>AR54+AS53</f>
        <v/>
      </c>
      <c r="AT54" s="205">
        <f>AS54+AT53</f>
        <v/>
      </c>
      <c r="AU54" s="205">
        <f>AT54+AU53</f>
        <v/>
      </c>
      <c r="AV54" s="205">
        <f>AU54+AV53</f>
        <v/>
      </c>
      <c r="AW54" s="205">
        <f>AV54+AW53</f>
        <v/>
      </c>
      <c r="AX54" s="205">
        <f>AW54+AX53</f>
        <v/>
      </c>
      <c r="AY54" s="205">
        <f>AX54+AY53</f>
        <v/>
      </c>
      <c r="AZ54" s="205">
        <f>AY54+AZ53</f>
        <v/>
      </c>
      <c r="BA54" s="205">
        <f>AZ54+BA53</f>
        <v/>
      </c>
      <c r="BB54" s="205">
        <f>BA54+BB53</f>
        <v/>
      </c>
      <c r="BC54" s="205">
        <f>BB54+BC53</f>
        <v/>
      </c>
      <c r="BD54" s="205">
        <f>BC54+BD53</f>
        <v/>
      </c>
      <c r="BE54" s="205">
        <f>BD54+BE53</f>
        <v/>
      </c>
      <c r="BF54" s="205">
        <f>BE54+BF53</f>
        <v/>
      </c>
      <c r="BG54" s="205">
        <f>BF54+BG53</f>
        <v/>
      </c>
      <c r="BH54" s="205">
        <f>BG54+BH53</f>
        <v/>
      </c>
      <c r="BI54" s="205">
        <f>BH54+BI53</f>
        <v/>
      </c>
    </row>
    <row r="55">
      <c r="A55" s="208" t="n"/>
      <c r="B55" s="194" t="n"/>
      <c r="C55" s="194" t="n"/>
      <c r="D55" s="194" t="n"/>
      <c r="E55" s="194"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194" t="n"/>
    </row>
    <row r="56">
      <c r="A56" s="209" t="inlineStr">
        <is>
          <t>Sensitivity Analysis</t>
        </is>
      </c>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c r="AF56" s="94" t="n"/>
      <c r="AG56" s="94" t="n"/>
      <c r="AH56" s="94" t="n"/>
      <c r="AI56" s="94" t="n"/>
      <c r="AJ56" s="94" t="n"/>
      <c r="AK56" s="94" t="n"/>
      <c r="AL56" s="94" t="n"/>
      <c r="AM56" s="94" t="n"/>
      <c r="AN56" s="94" t="n"/>
      <c r="AO56" s="94" t="n"/>
      <c r="AP56" s="94" t="n"/>
      <c r="AQ56" s="94" t="n"/>
      <c r="AR56" s="94" t="n"/>
      <c r="AS56" s="94" t="n"/>
      <c r="AT56" s="94" t="n"/>
      <c r="AU56" s="94" t="n"/>
      <c r="AV56" s="94" t="n"/>
      <c r="AW56" s="94" t="n"/>
      <c r="AX56" s="94" t="n"/>
      <c r="AY56" s="94" t="n"/>
      <c r="AZ56" s="94" t="n"/>
      <c r="BA56" s="94" t="n"/>
      <c r="BB56" s="94" t="n"/>
      <c r="BC56" s="94" t="n"/>
      <c r="BD56" s="94" t="n"/>
      <c r="BE56" s="94" t="n"/>
      <c r="BF56" s="94" t="n"/>
      <c r="BG56" s="94" t="n"/>
      <c r="BH56" s="94" t="n"/>
      <c r="BI56" s="210" t="n"/>
    </row>
    <row r="57">
      <c r="A57" s="211" t="inlineStr">
        <is>
          <t>Revenue (if XAU = -15%)</t>
        </is>
      </c>
      <c r="B57" s="133">
        <f>B52*Inputs!B51</f>
        <v/>
      </c>
      <c r="C57" s="133">
        <f>C52*Inputs!B51</f>
        <v/>
      </c>
      <c r="D57" s="133">
        <f>D52*Inputs!B51</f>
        <v/>
      </c>
      <c r="E57" s="133">
        <f>E52*Inputs!B51</f>
        <v/>
      </c>
      <c r="F57" s="133">
        <f>F52*Inputs!B51</f>
        <v/>
      </c>
      <c r="G57" s="133">
        <f>G52*Inputs!B51</f>
        <v/>
      </c>
      <c r="H57" s="133">
        <f>H52*Inputs!B51</f>
        <v/>
      </c>
      <c r="I57" s="133">
        <f>I52*Inputs!B51</f>
        <v/>
      </c>
      <c r="J57" s="133">
        <f>J52*Inputs!B51</f>
        <v/>
      </c>
      <c r="K57" s="133">
        <f>K52*Inputs!B51</f>
        <v/>
      </c>
      <c r="L57" s="133">
        <f>L52*Inputs!B51</f>
        <v/>
      </c>
      <c r="M57" s="133">
        <f>M52*Inputs!B51</f>
        <v/>
      </c>
      <c r="N57" s="133">
        <f>N52*Inputs!B51</f>
        <v/>
      </c>
      <c r="O57" s="133">
        <f>O52*Inputs!B51</f>
        <v/>
      </c>
      <c r="P57" s="133">
        <f>P52*Inputs!B51</f>
        <v/>
      </c>
      <c r="Q57" s="133">
        <f>Q52*Inputs!B51</f>
        <v/>
      </c>
      <c r="R57" s="133">
        <f>R52*Inputs!B51</f>
        <v/>
      </c>
      <c r="S57" s="133">
        <f>S52*Inputs!B51</f>
        <v/>
      </c>
      <c r="T57" s="133">
        <f>T52*Inputs!B51</f>
        <v/>
      </c>
      <c r="U57" s="133">
        <f>U52*Inputs!B51</f>
        <v/>
      </c>
      <c r="V57" s="133">
        <f>V52*Inputs!B51</f>
        <v/>
      </c>
      <c r="W57" s="133">
        <f>W52*Inputs!B51</f>
        <v/>
      </c>
      <c r="X57" s="133">
        <f>X52*Inputs!B51</f>
        <v/>
      </c>
      <c r="Y57" s="133">
        <f>Y52*Inputs!B51</f>
        <v/>
      </c>
      <c r="Z57" s="133">
        <f>Z52*Inputs!B51</f>
        <v/>
      </c>
      <c r="AA57" s="133">
        <f>AA52*Inputs!B51</f>
        <v/>
      </c>
      <c r="AB57" s="133">
        <f>AB52*Inputs!B51</f>
        <v/>
      </c>
      <c r="AC57" s="133">
        <f>AC52*Inputs!B51</f>
        <v/>
      </c>
      <c r="AD57" s="133">
        <f>AD52*Inputs!B51</f>
        <v/>
      </c>
      <c r="AE57" s="133">
        <f>AE52*Inputs!B51</f>
        <v/>
      </c>
      <c r="AF57" s="133">
        <f>AF52*Inputs!B51</f>
        <v/>
      </c>
      <c r="AG57" s="133">
        <f>AG52*Inputs!B51</f>
        <v/>
      </c>
      <c r="AH57" s="133">
        <f>AH52*Inputs!B51</f>
        <v/>
      </c>
      <c r="AI57" s="133">
        <f>AI52*Inputs!B51</f>
        <v/>
      </c>
      <c r="AJ57" s="133">
        <f>AJ52*Inputs!B51</f>
        <v/>
      </c>
      <c r="AK57" s="133">
        <f>AK52*Inputs!B51</f>
        <v/>
      </c>
      <c r="AL57" s="133">
        <f>AL52*Inputs!B51</f>
        <v/>
      </c>
      <c r="AM57" s="133">
        <f>AM52*Inputs!B51</f>
        <v/>
      </c>
      <c r="AN57" s="133">
        <f>AN52*Inputs!B51</f>
        <v/>
      </c>
      <c r="AO57" s="133">
        <f>AO52*Inputs!B51</f>
        <v/>
      </c>
      <c r="AP57" s="133">
        <f>AP52*Inputs!B51</f>
        <v/>
      </c>
      <c r="AQ57" s="133">
        <f>AQ52*Inputs!B51</f>
        <v/>
      </c>
      <c r="AR57" s="133">
        <f>AR52*Inputs!B51</f>
        <v/>
      </c>
      <c r="AS57" s="133">
        <f>AS52*Inputs!B51</f>
        <v/>
      </c>
      <c r="AT57" s="133">
        <f>AT52*Inputs!B51</f>
        <v/>
      </c>
      <c r="AU57" s="133">
        <f>AU52*Inputs!B51</f>
        <v/>
      </c>
      <c r="AV57" s="133">
        <f>AV52*Inputs!B51</f>
        <v/>
      </c>
      <c r="AW57" s="133">
        <f>AW52*Inputs!B51</f>
        <v/>
      </c>
      <c r="AX57" s="133">
        <f>AX52*Inputs!B51</f>
        <v/>
      </c>
      <c r="AY57" s="133">
        <f>AY52*Inputs!B51</f>
        <v/>
      </c>
      <c r="AZ57" s="133">
        <f>AZ52*Inputs!B51</f>
        <v/>
      </c>
      <c r="BA57" s="133">
        <f>BA52*Inputs!B51</f>
        <v/>
      </c>
      <c r="BB57" s="133">
        <f>BB52*Inputs!B51</f>
        <v/>
      </c>
      <c r="BC57" s="133">
        <f>BC52*Inputs!B51</f>
        <v/>
      </c>
      <c r="BD57" s="133">
        <f>BD52*Inputs!B51</f>
        <v/>
      </c>
      <c r="BE57" s="133">
        <f>BE52*Inputs!B51</f>
        <v/>
      </c>
      <c r="BF57" s="133">
        <f>BF52*Inputs!B51</f>
        <v/>
      </c>
      <c r="BG57" s="133">
        <f>BG52*Inputs!B51</f>
        <v/>
      </c>
      <c r="BH57" s="133">
        <f>BH52*Inputs!B51</f>
        <v/>
      </c>
      <c r="BI57" s="212">
        <f>BI52*Inputs!B51</f>
        <v/>
      </c>
    </row>
    <row r="58">
      <c r="A58" s="211" t="inlineStr">
        <is>
          <t>Net Cashflow</t>
        </is>
      </c>
      <c r="B58" s="133">
        <f>B50+B57</f>
        <v/>
      </c>
      <c r="C58" s="133">
        <f>C50+C57</f>
        <v/>
      </c>
      <c r="D58" s="133">
        <f>D50+D57</f>
        <v/>
      </c>
      <c r="E58" s="133">
        <f>E50+E57+E51</f>
        <v/>
      </c>
      <c r="F58" s="133">
        <f>F50+F57</f>
        <v/>
      </c>
      <c r="G58" s="133">
        <f>G50+G57+G51</f>
        <v/>
      </c>
      <c r="H58" s="133">
        <f>H50+H57</f>
        <v/>
      </c>
      <c r="I58" s="133">
        <f>I50+I57</f>
        <v/>
      </c>
      <c r="J58" s="133">
        <f>J50+J57</f>
        <v/>
      </c>
      <c r="K58" s="133">
        <f>K50+K57</f>
        <v/>
      </c>
      <c r="L58" s="133">
        <f>L50+L57</f>
        <v/>
      </c>
      <c r="M58" s="133">
        <f>M50+M57</f>
        <v/>
      </c>
      <c r="N58" s="133">
        <f>N50+N57</f>
        <v/>
      </c>
      <c r="O58" s="133">
        <f>O50+O57</f>
        <v/>
      </c>
      <c r="P58" s="133">
        <f>P50+P57</f>
        <v/>
      </c>
      <c r="Q58" s="133">
        <f>Q50+Q57</f>
        <v/>
      </c>
      <c r="R58" s="133">
        <f>R50+R57</f>
        <v/>
      </c>
      <c r="S58" s="133">
        <f>S50+S57</f>
        <v/>
      </c>
      <c r="T58" s="133">
        <f>T50+T57</f>
        <v/>
      </c>
      <c r="U58" s="133">
        <f>U50+U57</f>
        <v/>
      </c>
      <c r="V58" s="133">
        <f>V50+V57</f>
        <v/>
      </c>
      <c r="W58" s="133">
        <f>W50+W57</f>
        <v/>
      </c>
      <c r="X58" s="133">
        <f>X50+X57</f>
        <v/>
      </c>
      <c r="Y58" s="133">
        <f>Y50+Y57</f>
        <v/>
      </c>
      <c r="Z58" s="133">
        <f>Z50+Z57</f>
        <v/>
      </c>
      <c r="AA58" s="133">
        <f>AA50+AA57</f>
        <v/>
      </c>
      <c r="AB58" s="133">
        <f>AB50+AB57</f>
        <v/>
      </c>
      <c r="AC58" s="133">
        <f>AC50+AC57</f>
        <v/>
      </c>
      <c r="AD58" s="133">
        <f>AD50+AD57</f>
        <v/>
      </c>
      <c r="AE58" s="133">
        <f>AE50+AE57</f>
        <v/>
      </c>
      <c r="AF58" s="133">
        <f>AF50+AF57</f>
        <v/>
      </c>
      <c r="AG58" s="133">
        <f>AG50+AG57</f>
        <v/>
      </c>
      <c r="AH58" s="133">
        <f>AH50+AH57</f>
        <v/>
      </c>
      <c r="AI58" s="133">
        <f>AI50+AI57</f>
        <v/>
      </c>
      <c r="AJ58" s="133">
        <f>AJ50+AJ57</f>
        <v/>
      </c>
      <c r="AK58" s="133">
        <f>AK50+AK57</f>
        <v/>
      </c>
      <c r="AL58" s="133">
        <f>AL50+AL57</f>
        <v/>
      </c>
      <c r="AM58" s="133">
        <f>AM50+AM57</f>
        <v/>
      </c>
      <c r="AN58" s="133">
        <f>AN50+AN57</f>
        <v/>
      </c>
      <c r="AO58" s="133">
        <f>AO50+AO57</f>
        <v/>
      </c>
      <c r="AP58" s="133">
        <f>AP50+AP57</f>
        <v/>
      </c>
      <c r="AQ58" s="133">
        <f>AQ50+AQ57</f>
        <v/>
      </c>
      <c r="AR58" s="133">
        <f>AR50+AR57</f>
        <v/>
      </c>
      <c r="AS58" s="133">
        <f>AS50+AS57</f>
        <v/>
      </c>
      <c r="AT58" s="133">
        <f>AT50+AT57</f>
        <v/>
      </c>
      <c r="AU58" s="133">
        <f>AU50+AU57</f>
        <v/>
      </c>
      <c r="AV58" s="133">
        <f>AV50+AV57</f>
        <v/>
      </c>
      <c r="AW58" s="133">
        <f>AW50+AW57</f>
        <v/>
      </c>
      <c r="AX58" s="133">
        <f>AX50+AX57</f>
        <v/>
      </c>
      <c r="AY58" s="133">
        <f>AY50+AY57</f>
        <v/>
      </c>
      <c r="AZ58" s="133">
        <f>AZ50+AZ57</f>
        <v/>
      </c>
      <c r="BA58" s="133">
        <f>BA50+BA57</f>
        <v/>
      </c>
      <c r="BB58" s="133">
        <f>BB50+BB57</f>
        <v/>
      </c>
      <c r="BC58" s="133">
        <f>BC50+BC57</f>
        <v/>
      </c>
      <c r="BD58" s="133">
        <f>BD50+BD57</f>
        <v/>
      </c>
      <c r="BE58" s="133">
        <f>BE50+BE57</f>
        <v/>
      </c>
      <c r="BF58" s="133">
        <f>BF50+BF57</f>
        <v/>
      </c>
      <c r="BG58" s="133">
        <f>BG50+BG57</f>
        <v/>
      </c>
      <c r="BH58" s="133">
        <f>BH50+BH57</f>
        <v/>
      </c>
      <c r="BI58" s="212">
        <f>BI50+BI57</f>
        <v/>
      </c>
    </row>
    <row r="59">
      <c r="A59" s="213" t="inlineStr">
        <is>
          <t>Cash Position ( if XAU = -15%)</t>
        </is>
      </c>
      <c r="B59" s="139">
        <f>B57+B58</f>
        <v/>
      </c>
      <c r="C59" s="139">
        <f>B59+C57+C58</f>
        <v/>
      </c>
      <c r="D59" s="139">
        <f>C59+D57+D58</f>
        <v/>
      </c>
      <c r="E59" s="139">
        <f>E57+E58</f>
        <v/>
      </c>
      <c r="F59" s="139">
        <f>E59+F50+F57</f>
        <v/>
      </c>
      <c r="G59" s="139">
        <f>F59+G50+G51+G57</f>
        <v/>
      </c>
      <c r="H59" s="139">
        <f>G59+H50+H57</f>
        <v/>
      </c>
      <c r="I59" s="139">
        <f>H59+I50+I51+I57</f>
        <v/>
      </c>
      <c r="J59" s="139">
        <f>I59+J50+J51+J57</f>
        <v/>
      </c>
      <c r="K59" s="139">
        <f>J59+K50+K51+K57</f>
        <v/>
      </c>
      <c r="L59" s="139">
        <f>K59+L50+L51+L57</f>
        <v/>
      </c>
      <c r="M59" s="139">
        <f>L59+M50+M51+M57</f>
        <v/>
      </c>
      <c r="N59" s="139">
        <f>M59+N50+N51+N57</f>
        <v/>
      </c>
      <c r="O59" s="139">
        <f>N59+O50+O51+O57</f>
        <v/>
      </c>
      <c r="P59" s="139">
        <f>O59+P50+P51+P57</f>
        <v/>
      </c>
      <c r="Q59" s="139">
        <f>P59+Q50+Q51+Q57</f>
        <v/>
      </c>
      <c r="R59" s="139">
        <f>Q59+R50+R51+R57</f>
        <v/>
      </c>
      <c r="S59" s="139">
        <f>R59+S50+S51+S57</f>
        <v/>
      </c>
      <c r="T59" s="139">
        <f>S59+T50+T51+T57</f>
        <v/>
      </c>
      <c r="U59" s="139">
        <f>T59+U50+U51+U57</f>
        <v/>
      </c>
      <c r="V59" s="139">
        <f>U59+V50+V51+V57</f>
        <v/>
      </c>
      <c r="W59" s="139">
        <f>V59+W50+W51+W57</f>
        <v/>
      </c>
      <c r="X59" s="139">
        <f>W59+X50+X51+X57</f>
        <v/>
      </c>
      <c r="Y59" s="139">
        <f>X59+Y50+Y51+Y57</f>
        <v/>
      </c>
      <c r="Z59" s="139">
        <f>Y59+Z50+Z51+Z57</f>
        <v/>
      </c>
      <c r="AA59" s="139">
        <f>Z59+AA50+AA51+AA57</f>
        <v/>
      </c>
      <c r="AB59" s="139">
        <f>AA59+AB50+AB51+AB57</f>
        <v/>
      </c>
      <c r="AC59" s="139">
        <f>AB59+AC50+AC51+AC57</f>
        <v/>
      </c>
      <c r="AD59" s="139">
        <f>AC59+AD50+AD51+AD57</f>
        <v/>
      </c>
      <c r="AE59" s="139">
        <f>AD59+AE50+AE51+AE57</f>
        <v/>
      </c>
      <c r="AF59" s="139">
        <f>AE59+AF50+AF51+AF57</f>
        <v/>
      </c>
      <c r="AG59" s="139">
        <f>AF59+AG50+AG51+AG57</f>
        <v/>
      </c>
      <c r="AH59" s="139">
        <f>AG59+AH50+AH51+AH57</f>
        <v/>
      </c>
      <c r="AI59" s="139">
        <f>AH59+AI50+AI51+AI57</f>
        <v/>
      </c>
      <c r="AJ59" s="139">
        <f>AI59+AJ50+AJ51+AJ57</f>
        <v/>
      </c>
      <c r="AK59" s="139">
        <f>AJ59+AK50+AK51+AK57</f>
        <v/>
      </c>
      <c r="AL59" s="139">
        <f>AK59+AL50+AL51+AL57</f>
        <v/>
      </c>
      <c r="AM59" s="139">
        <f>AL59+AM50+AM51+AM57</f>
        <v/>
      </c>
      <c r="AN59" s="139">
        <f>AM59+AN50+AN51+AN57</f>
        <v/>
      </c>
      <c r="AO59" s="139">
        <f>AN59+AO50+AO51+AO57</f>
        <v/>
      </c>
      <c r="AP59" s="139">
        <f>AO59+AP50+AP51+AP57</f>
        <v/>
      </c>
      <c r="AQ59" s="139">
        <f>AP59+AQ50+AQ51+AQ57</f>
        <v/>
      </c>
      <c r="AR59" s="139">
        <f>AQ59+AR50+AR51+AR57</f>
        <v/>
      </c>
      <c r="AS59" s="139">
        <f>AR59+AS50+AS51+AS57</f>
        <v/>
      </c>
      <c r="AT59" s="139">
        <f>AS59+AT50+AT51+AT57</f>
        <v/>
      </c>
      <c r="AU59" s="139">
        <f>AT59+AU50+AU51+AU57</f>
        <v/>
      </c>
      <c r="AV59" s="139">
        <f>AU59+AV50+AV51+AV57</f>
        <v/>
      </c>
      <c r="AW59" s="139">
        <f>AV59+AW50+AW51+AW57</f>
        <v/>
      </c>
      <c r="AX59" s="139">
        <f>AW59+AX50+AX51+AX57</f>
        <v/>
      </c>
      <c r="AY59" s="139">
        <f>AX59+AY50+AY51+AY57</f>
        <v/>
      </c>
      <c r="AZ59" s="139">
        <f>AY59+AZ50+AZ51+AZ57</f>
        <v/>
      </c>
      <c r="BA59" s="139">
        <f>AZ59+BA50+BA51+BA57</f>
        <v/>
      </c>
      <c r="BB59" s="139">
        <f>BA59+BB50+BB51+BB57</f>
        <v/>
      </c>
      <c r="BC59" s="139">
        <f>BB59+BC50+BC51+BC57</f>
        <v/>
      </c>
      <c r="BD59" s="139">
        <f>BC59+BD50+BD51+BD57</f>
        <v/>
      </c>
      <c r="BE59" s="139">
        <f>BD59+BE50+BE51+BE57</f>
        <v/>
      </c>
      <c r="BF59" s="139">
        <f>BE59+BF50+BF51+BF57</f>
        <v/>
      </c>
      <c r="BG59" s="139">
        <f>BF59+BG50+BG51+BG57</f>
        <v/>
      </c>
      <c r="BH59" s="139">
        <f>BG59+BH50+BH51+BH57</f>
        <v/>
      </c>
      <c r="BI59" s="139">
        <f>BH59+BI50+BI51+BI57</f>
        <v/>
      </c>
    </row>
    <row r="60">
      <c r="A60" s="207" t="n"/>
    </row>
    <row r="61">
      <c r="A61" s="36" t="inlineStr">
        <is>
          <t>Annual Summaries</t>
        </is>
      </c>
      <c r="B61" s="151" t="n">
        <v>2025</v>
      </c>
      <c r="C61" s="151" t="n">
        <v>2026</v>
      </c>
      <c r="D61" s="151" t="n">
        <v>2027</v>
      </c>
      <c r="E61" s="151" t="n">
        <v>2028</v>
      </c>
      <c r="F61" s="152" t="n">
        <v>2029</v>
      </c>
    </row>
    <row r="62">
      <c r="A62" s="38" t="inlineStr">
        <is>
          <t>Revenue</t>
        </is>
      </c>
      <c r="B62" s="133">
        <f>sum(B47:M47)</f>
        <v/>
      </c>
      <c r="C62" s="133">
        <f>sum(N47:Y47)</f>
        <v/>
      </c>
      <c r="D62" s="133">
        <f>sum(Z47:AK47)</f>
        <v/>
      </c>
      <c r="E62" s="133">
        <f>sum(AL47:AW47)</f>
        <v/>
      </c>
      <c r="F62" s="135">
        <f>sum(AV47:BI47)</f>
        <v/>
      </c>
    </row>
    <row r="63">
      <c r="A63" s="38" t="inlineStr">
        <is>
          <t>Capital Activities</t>
        </is>
      </c>
      <c r="B63" s="133">
        <f>sum(B36:M36)</f>
        <v/>
      </c>
      <c r="C63" s="133">
        <f>sum(N36:Y36)</f>
        <v/>
      </c>
      <c r="D63" s="133">
        <f>sum(Z36:AK36)</f>
        <v/>
      </c>
      <c r="E63" s="133">
        <f>sum(AL36:AW36)</f>
        <v/>
      </c>
      <c r="F63" s="135">
        <f>sum(AV36:BI36)</f>
        <v/>
      </c>
    </row>
    <row r="64">
      <c r="A64" s="38" t="inlineStr">
        <is>
          <t>Personnel Stipends</t>
        </is>
      </c>
      <c r="B64" s="133">
        <f>-sum(B8:M8)</f>
        <v/>
      </c>
      <c r="C64" s="133">
        <f>-sum(N8:Y8)</f>
        <v/>
      </c>
      <c r="D64" s="133">
        <f>-sum(Z8:AK8)</f>
        <v/>
      </c>
      <c r="E64" s="133">
        <f>-sum(AL8:AW8)</f>
        <v/>
      </c>
      <c r="F64" s="135">
        <f>-sum(AV8:BI8)</f>
        <v/>
      </c>
    </row>
    <row r="65">
      <c r="A65" s="38" t="inlineStr">
        <is>
          <t>Expenditures</t>
        </is>
      </c>
      <c r="B65" s="133">
        <f>-sum(B31:M31)</f>
        <v/>
      </c>
      <c r="C65" s="133">
        <f>-sum(N31:Y31)</f>
        <v/>
      </c>
      <c r="D65" s="133">
        <f>-sum(Z31:AK31)</f>
        <v/>
      </c>
      <c r="E65" s="133">
        <f>-sum(AL31:AW31)</f>
        <v/>
      </c>
      <c r="F65" s="135">
        <f>-sum(AV31:BI31)</f>
        <v/>
      </c>
    </row>
    <row r="66">
      <c r="A66" s="45" t="inlineStr">
        <is>
          <t>Cash Position (EOY)</t>
        </is>
      </c>
      <c r="B66" s="139">
        <f>M54</f>
        <v/>
      </c>
      <c r="C66" s="139">
        <f>Y54</f>
        <v/>
      </c>
      <c r="D66" s="139">
        <f>AK54</f>
        <v/>
      </c>
      <c r="E66" s="139">
        <f>AW54</f>
        <v/>
      </c>
      <c r="F66" s="177">
        <f>BI54</f>
        <v/>
      </c>
    </row>
    <row r="69">
      <c r="A69" s="191" t="n"/>
      <c r="B69" s="191" t="n"/>
      <c r="C69" s="191" t="n"/>
    </row>
  </sheetData>
  <conditionalFormatting sqref="B49:BI50">
    <cfRule type="cellIs" priority="1" operator="greaterThan" dxfId="0">
      <formula>0</formula>
    </cfRule>
    <cfRule type="cellIs" priority="2" operator="lessThan" dxfId="1">
      <formula>0</formula>
    </cfRule>
  </conditionalFormatting>
  <conditionalFormatting sqref="B51:BI54">
    <cfRule type="cellIs" priority="3" operator="greaterThan" dxfId="0">
      <formula>0</formula>
    </cfRule>
    <cfRule type="cellIs" priority="4" operator="lessThan" dxfId="1">
      <formula>0</formula>
    </cfRule>
  </conditionalFormatting>
  <conditionalFormatting sqref="B57:BI59">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32" min="0" max="16383" man="1"/>
    <brk id="80" min="0" max="16383" man="1"/>
    <brk id="6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K31"/>
  <sheetViews>
    <sheetView workbookViewId="0">
      <pane ySplit="1" topLeftCell="A2" activePane="bottomLeft" state="frozen"/>
      <selection pane="bottomLeft" activeCell="B3" sqref="B3"/>
    </sheetView>
  </sheetViews>
  <sheetFormatPr baseColWidth="8" defaultColWidth="12.63" defaultRowHeight="15.75" customHeight="1"/>
  <cols>
    <col width="31.5" customWidth="1" style="323" min="1" max="1"/>
    <col width="14.88" customWidth="1" style="323" min="2" max="2"/>
    <col width="21.13" customWidth="1" style="323" min="3" max="3"/>
    <col width="15.13" customWidth="1" style="323" min="4" max="4"/>
    <col width="17" customWidth="1" style="323" min="5" max="5"/>
    <col width="16.25" customWidth="1" style="323" min="6" max="6"/>
    <col width="19" customWidth="1" style="323" min="7" max="7"/>
    <col width="17.75" customWidth="1" style="323" min="8" max="8"/>
    <col width="23.5" customWidth="1" style="323" min="10" max="10"/>
  </cols>
  <sheetData>
    <row r="1">
      <c r="A1" s="36" t="inlineStr">
        <is>
          <t>Role/Title</t>
        </is>
      </c>
      <c r="B1" s="51" t="inlineStr">
        <is>
          <t>Name</t>
        </is>
      </c>
      <c r="C1" s="51" t="inlineStr">
        <is>
          <t>Time Committment (FTE)</t>
        </is>
      </c>
      <c r="D1" s="51" t="inlineStr">
        <is>
          <t>Monthly Stipend</t>
        </is>
      </c>
      <c r="E1" s="51" t="inlineStr">
        <is>
          <t>Market Salary (FTE)</t>
        </is>
      </c>
      <c r="F1" s="51" t="inlineStr">
        <is>
          <t>Market Salary (TC)</t>
        </is>
      </c>
      <c r="G1" s="51" t="inlineStr">
        <is>
          <t>Monthly Accrual Debt</t>
        </is>
      </c>
      <c r="H1" s="51" t="inlineStr">
        <is>
          <t>Yearly Accrual Debt</t>
        </is>
      </c>
      <c r="I1" s="119" t="inlineStr">
        <is>
          <t>Yearly Stipend</t>
        </is>
      </c>
      <c r="J1" s="191" t="n"/>
    </row>
    <row r="2">
      <c r="A2" s="214" t="inlineStr">
        <is>
          <t>Real Assets Foundation</t>
        </is>
      </c>
      <c r="B2" s="299" t="n"/>
      <c r="C2" s="215" t="n"/>
      <c r="D2" s="237" t="n"/>
      <c r="E2" s="237" t="n"/>
      <c r="F2" s="237" t="n"/>
      <c r="G2" s="237" t="n"/>
      <c r="H2" s="299" t="n"/>
      <c r="I2" s="218" t="n"/>
    </row>
    <row r="3">
      <c r="A3" s="38" t="inlineStr">
        <is>
          <t>Director: Executive / President</t>
        </is>
      </c>
      <c r="B3" s="117" t="inlineStr">
        <is>
          <t>TBD</t>
        </is>
      </c>
      <c r="C3" s="219" t="n">
        <v>1</v>
      </c>
      <c r="D3" s="107" t="n">
        <v>10000</v>
      </c>
      <c r="E3" s="107" t="n">
        <v>15000</v>
      </c>
      <c r="F3" s="220">
        <f>C3*E3</f>
        <v/>
      </c>
      <c r="G3" s="220">
        <f>(F3-D3)</f>
        <v/>
      </c>
      <c r="H3" s="220">
        <f>G3*12</f>
        <v/>
      </c>
      <c r="I3" s="221">
        <f>D3*12</f>
        <v/>
      </c>
    </row>
    <row r="4">
      <c r="A4" s="38" t="inlineStr">
        <is>
          <t>Director: Brand / Treasurer</t>
        </is>
      </c>
      <c r="B4" s="117" t="inlineStr">
        <is>
          <t>Ishan Shapiro</t>
        </is>
      </c>
      <c r="C4" s="222" t="n">
        <v>1</v>
      </c>
      <c r="D4" s="107" t="n">
        <v>7500</v>
      </c>
      <c r="E4" s="107" t="n">
        <v>10000</v>
      </c>
      <c r="F4" s="220">
        <f>C4*E4</f>
        <v/>
      </c>
      <c r="G4" s="220">
        <f>(F4-D4)</f>
        <v/>
      </c>
      <c r="H4" s="220">
        <f>G4*12</f>
        <v/>
      </c>
      <c r="I4" s="221">
        <f>D4*12</f>
        <v/>
      </c>
    </row>
    <row r="5">
      <c r="A5" s="38" t="inlineStr">
        <is>
          <t>Director: Culture + Ops / Secretary</t>
        </is>
      </c>
      <c r="B5" s="117" t="inlineStr">
        <is>
          <t>Ferananda Ibarra</t>
        </is>
      </c>
      <c r="C5" s="242" t="n">
        <v>1</v>
      </c>
      <c r="D5" s="107" t="n">
        <v>7500</v>
      </c>
      <c r="E5" s="107" t="n">
        <v>10000</v>
      </c>
      <c r="F5" s="220">
        <f>C5*E5</f>
        <v/>
      </c>
      <c r="G5" s="220">
        <f>(F5-D5)</f>
        <v/>
      </c>
      <c r="H5" s="220">
        <f>G5*12</f>
        <v/>
      </c>
      <c r="I5" s="221">
        <f>D5*12</f>
        <v/>
      </c>
    </row>
    <row r="6">
      <c r="A6" s="38" t="inlineStr">
        <is>
          <t>Director: Prospecting</t>
        </is>
      </c>
      <c r="B6" s="117" t="inlineStr">
        <is>
          <t>Ken Currington</t>
        </is>
      </c>
      <c r="C6" s="242" t="n">
        <v>1</v>
      </c>
      <c r="D6" s="107" t="n">
        <v>7500</v>
      </c>
      <c r="E6" s="107" t="n">
        <v>10000</v>
      </c>
      <c r="F6" s="220">
        <f>C6*E6</f>
        <v/>
      </c>
      <c r="G6" s="220">
        <f>(F6-D6)</f>
        <v/>
      </c>
      <c r="H6" s="220">
        <f>G6*12</f>
        <v/>
      </c>
      <c r="I6" s="221">
        <f>D6*12</f>
        <v/>
      </c>
    </row>
    <row r="7">
      <c r="A7" s="38" t="inlineStr">
        <is>
          <t>Director: Finance</t>
        </is>
      </c>
      <c r="B7" s="117" t="inlineStr">
        <is>
          <t>???</t>
        </is>
      </c>
      <c r="C7" s="242" t="n">
        <v>0.75</v>
      </c>
      <c r="D7" s="107" t="n">
        <v>7500</v>
      </c>
      <c r="E7" s="107" t="n">
        <v>10000</v>
      </c>
      <c r="F7" s="220">
        <f>C7*E7</f>
        <v/>
      </c>
      <c r="G7" s="220">
        <f>(F7-D7)</f>
        <v/>
      </c>
      <c r="H7" s="220">
        <f>G7*12</f>
        <v/>
      </c>
      <c r="I7" s="221">
        <f>D7*12</f>
        <v/>
      </c>
    </row>
    <row r="8">
      <c r="A8" s="38" t="inlineStr">
        <is>
          <t>Director: Qualified Person</t>
        </is>
      </c>
      <c r="B8" s="117" t="inlineStr">
        <is>
          <t>???</t>
        </is>
      </c>
      <c r="C8" s="242" t="n">
        <v>0.5</v>
      </c>
      <c r="D8" s="107" t="n">
        <v>5000</v>
      </c>
      <c r="E8" s="107" t="n">
        <v>10000</v>
      </c>
      <c r="F8" s="220">
        <f>C8*E8</f>
        <v/>
      </c>
      <c r="G8" s="220">
        <f>(F8-D8)</f>
        <v/>
      </c>
      <c r="H8" s="220">
        <f>G8*12</f>
        <v/>
      </c>
      <c r="I8" s="221">
        <f>D8*12</f>
        <v/>
      </c>
    </row>
    <row r="9">
      <c r="A9" s="38" t="inlineStr">
        <is>
          <t>Legal Counsel: Coordinator</t>
        </is>
      </c>
      <c r="B9" s="117" t="inlineStr">
        <is>
          <t>Josephine Watson</t>
        </is>
      </c>
      <c r="C9" s="242" t="n">
        <v>0.5</v>
      </c>
      <c r="D9" s="107" t="n">
        <v>5000</v>
      </c>
      <c r="E9" s="107" t="n">
        <v>10000</v>
      </c>
      <c r="F9" s="220">
        <f>C9*E9</f>
        <v/>
      </c>
      <c r="G9" s="220">
        <f>(F9-D9)</f>
        <v/>
      </c>
      <c r="H9" s="220">
        <f>G9*12</f>
        <v/>
      </c>
      <c r="I9" s="221">
        <f>D9*12</f>
        <v/>
      </c>
    </row>
    <row r="10">
      <c r="A10" s="38" t="inlineStr">
        <is>
          <t>Brand/Product Designer</t>
        </is>
      </c>
      <c r="B10" s="117" t="inlineStr">
        <is>
          <t>Nicole Klau</t>
        </is>
      </c>
      <c r="C10" s="242" t="n">
        <v>0.5</v>
      </c>
      <c r="D10" s="107" t="n">
        <v>3750</v>
      </c>
      <c r="E10" s="107" t="n">
        <v>7500</v>
      </c>
      <c r="F10" s="220">
        <f>C10*E10</f>
        <v/>
      </c>
      <c r="G10" s="220">
        <f>(F10-D10)*C10</f>
        <v/>
      </c>
      <c r="H10" s="220">
        <f>G10*12</f>
        <v/>
      </c>
      <c r="I10" s="221">
        <f>D10*12</f>
        <v/>
      </c>
    </row>
    <row r="11">
      <c r="A11" s="38" t="inlineStr">
        <is>
          <t>Regenerative Compliance Specialist</t>
        </is>
      </c>
      <c r="B11" s="117" t="inlineStr">
        <is>
          <t>Garrett Young?</t>
        </is>
      </c>
      <c r="C11" s="242" t="n">
        <v>0.5</v>
      </c>
      <c r="D11" s="107" t="n">
        <v>2500</v>
      </c>
      <c r="E11" s="107" t="n">
        <v>7500</v>
      </c>
      <c r="F11" s="220">
        <f>C11*E11</f>
        <v/>
      </c>
      <c r="G11" s="220">
        <f>(F11-D11)</f>
        <v/>
      </c>
      <c r="H11" s="220">
        <f>G11*12</f>
        <v/>
      </c>
      <c r="I11" s="221">
        <f>D11*12</f>
        <v/>
      </c>
    </row>
    <row r="12">
      <c r="A12" s="38" t="inlineStr">
        <is>
          <t>Board Member (x4)</t>
        </is>
      </c>
      <c r="B12" s="117" t="inlineStr">
        <is>
          <t>???</t>
        </is>
      </c>
      <c r="C12" s="242" t="n">
        <v>4</v>
      </c>
      <c r="D12" s="107">
        <f>1250*C12</f>
        <v/>
      </c>
      <c r="E12" s="107" t="n">
        <v>1250</v>
      </c>
      <c r="F12" s="220">
        <f>C12*E12</f>
        <v/>
      </c>
      <c r="G12" s="220">
        <f>(F12-D12)</f>
        <v/>
      </c>
      <c r="H12" s="220">
        <f>G12*12</f>
        <v/>
      </c>
      <c r="I12" s="221">
        <f>D12*12</f>
        <v/>
      </c>
    </row>
    <row r="13">
      <c r="A13" s="38" t="inlineStr">
        <is>
          <t>Advisor (x8)</t>
        </is>
      </c>
      <c r="B13" s="117" t="inlineStr">
        <is>
          <t>???</t>
        </is>
      </c>
      <c r="C13" s="242" t="n">
        <v>8</v>
      </c>
      <c r="D13" s="107" t="n">
        <v>0</v>
      </c>
      <c r="E13" s="107" t="n">
        <v>400</v>
      </c>
      <c r="F13" s="220">
        <f>C13*E13</f>
        <v/>
      </c>
      <c r="G13" s="220">
        <f>(F13-D13)</f>
        <v/>
      </c>
      <c r="H13" s="220">
        <f>G13*12</f>
        <v/>
      </c>
      <c r="I13" s="221">
        <f>D13*12</f>
        <v/>
      </c>
    </row>
    <row r="14">
      <c r="A14" s="214" t="inlineStr">
        <is>
          <t>Real Gold Treasury</t>
        </is>
      </c>
      <c r="B14" s="223" t="n"/>
      <c r="C14" s="223" t="n"/>
      <c r="D14" s="223" t="n"/>
      <c r="E14" s="223" t="n"/>
      <c r="F14" s="223" t="n"/>
      <c r="G14" s="223" t="n"/>
      <c r="H14" s="223" t="n"/>
      <c r="I14" s="224" t="n"/>
    </row>
    <row r="15">
      <c r="A15" s="38" t="inlineStr">
        <is>
          <t>Director: Executive</t>
        </is>
      </c>
      <c r="B15" s="117" t="inlineStr">
        <is>
          <t>???</t>
        </is>
      </c>
      <c r="C15" s="242" t="n">
        <v>1</v>
      </c>
      <c r="D15" s="107" t="n">
        <v>10000</v>
      </c>
      <c r="E15" s="107" t="n">
        <v>15000</v>
      </c>
      <c r="F15" s="220">
        <f>C15*E15</f>
        <v/>
      </c>
      <c r="G15" s="220">
        <f>(F15-D15)</f>
        <v/>
      </c>
      <c r="H15" s="220">
        <f>G15*12</f>
        <v/>
      </c>
      <c r="I15" s="221">
        <f>D15*12</f>
        <v/>
      </c>
    </row>
    <row r="16">
      <c r="A16" s="38" t="inlineStr">
        <is>
          <t>Director: Crypto Operations</t>
        </is>
      </c>
      <c r="B16" s="117" t="inlineStr">
        <is>
          <t>???</t>
        </is>
      </c>
      <c r="C16" s="225" t="n">
        <v>1</v>
      </c>
      <c r="D16" s="107" t="n">
        <v>7500</v>
      </c>
      <c r="E16" s="107" t="n">
        <v>10000</v>
      </c>
      <c r="F16" s="220">
        <f>C16*E16</f>
        <v/>
      </c>
      <c r="G16" s="220">
        <f>(F16-D16)</f>
        <v/>
      </c>
      <c r="H16" s="220">
        <f>G16*12</f>
        <v/>
      </c>
      <c r="I16" s="221">
        <f>D16*12</f>
        <v/>
      </c>
    </row>
    <row r="17">
      <c r="A17" s="38" t="inlineStr">
        <is>
          <t>Compliance Officer</t>
        </is>
      </c>
      <c r="B17" s="117" t="inlineStr">
        <is>
          <t>???</t>
        </is>
      </c>
      <c r="C17" s="242" t="n">
        <v>0.5</v>
      </c>
      <c r="D17" s="107" t="n">
        <v>5000</v>
      </c>
      <c r="E17" s="107" t="n">
        <v>10000</v>
      </c>
      <c r="F17" s="220">
        <f>C17*E17</f>
        <v/>
      </c>
      <c r="G17" s="220">
        <f>(F17-D17)</f>
        <v/>
      </c>
      <c r="H17" s="220">
        <f>G17*12</f>
        <v/>
      </c>
      <c r="I17" s="221">
        <f>D17*12</f>
        <v/>
      </c>
    </row>
    <row r="18">
      <c r="A18" s="38" t="inlineStr">
        <is>
          <t>Marketing Manager</t>
        </is>
      </c>
      <c r="B18" s="117" t="inlineStr">
        <is>
          <t>Rama Kingston?</t>
        </is>
      </c>
      <c r="C18" s="242" t="n">
        <v>1</v>
      </c>
      <c r="D18" s="107" t="n">
        <v>5000</v>
      </c>
      <c r="E18" s="107" t="n">
        <v>7500</v>
      </c>
      <c r="F18" s="220">
        <f>C18*E18</f>
        <v/>
      </c>
      <c r="G18" s="220">
        <f>(F18-D18)*C18</f>
        <v/>
      </c>
      <c r="H18" s="220">
        <f>G18*12</f>
        <v/>
      </c>
      <c r="I18" s="221">
        <f>D18*12</f>
        <v/>
      </c>
    </row>
    <row r="19">
      <c r="A19" s="38" t="inlineStr">
        <is>
          <t>Business Development</t>
        </is>
      </c>
      <c r="B19" s="117" t="inlineStr">
        <is>
          <t>???</t>
        </is>
      </c>
      <c r="C19" s="242" t="n">
        <v>1</v>
      </c>
      <c r="D19" s="107" t="n">
        <v>5000</v>
      </c>
      <c r="E19" s="107" t="n">
        <v>7500</v>
      </c>
      <c r="F19" s="220">
        <f>C19*E19</f>
        <v/>
      </c>
      <c r="G19" s="220">
        <f>(F19-D19)</f>
        <v/>
      </c>
      <c r="H19" s="220">
        <f>G19*12</f>
        <v/>
      </c>
      <c r="I19" s="221">
        <f>D19*12</f>
        <v/>
      </c>
    </row>
    <row r="20">
      <c r="A20" s="214" t="inlineStr">
        <is>
          <t>Regenerative Assets LLC</t>
        </is>
      </c>
      <c r="B20" s="223" t="n"/>
      <c r="C20" s="223" t="n"/>
      <c r="D20" s="223" t="n"/>
      <c r="E20" s="223" t="n"/>
      <c r="F20" s="223" t="n"/>
      <c r="G20" s="223" t="n"/>
      <c r="H20" s="223" t="n"/>
      <c r="I20" s="224" t="n"/>
    </row>
    <row r="21">
      <c r="A21" s="38" t="inlineStr">
        <is>
          <t>Executive / Tech Director</t>
        </is>
      </c>
      <c r="B21" s="117" t="inlineStr">
        <is>
          <t>Arthur Brock</t>
        </is>
      </c>
      <c r="C21" s="242" t="n">
        <v>0.5</v>
      </c>
      <c r="D21" s="107" t="n">
        <v>5000</v>
      </c>
      <c r="E21" s="107" t="n">
        <v>15000</v>
      </c>
      <c r="F21" s="220">
        <f>C21*E21</f>
        <v/>
      </c>
      <c r="G21" s="220">
        <f>(F21-D21)</f>
        <v/>
      </c>
      <c r="H21" s="220">
        <f>G21*12</f>
        <v/>
      </c>
      <c r="I21" s="221">
        <f>D21*12</f>
        <v/>
      </c>
    </row>
    <row r="22">
      <c r="A22" s="38" t="inlineStr">
        <is>
          <t>Rust Developer</t>
        </is>
      </c>
      <c r="B22" s="117" t="inlineStr">
        <is>
          <t>???</t>
        </is>
      </c>
      <c r="C22" s="242" t="n">
        <v>0.5</v>
      </c>
      <c r="D22" s="107" t="n">
        <v>3750</v>
      </c>
      <c r="E22" s="107" t="n">
        <v>7500</v>
      </c>
      <c r="F22" s="220">
        <f>C22*E22</f>
        <v/>
      </c>
      <c r="G22" s="220">
        <f>(F22-D22)*C22</f>
        <v/>
      </c>
      <c r="H22" s="220">
        <f>G22*12</f>
        <v/>
      </c>
      <c r="I22" s="221">
        <f>D22*12</f>
        <v/>
      </c>
    </row>
    <row r="23">
      <c r="A23" s="38" t="inlineStr">
        <is>
          <t>Blockchain Developer</t>
        </is>
      </c>
      <c r="B23" s="117" t="inlineStr">
        <is>
          <t>???</t>
        </is>
      </c>
      <c r="C23" s="225" t="n">
        <v>1</v>
      </c>
      <c r="D23" s="107" t="n">
        <v>7500</v>
      </c>
      <c r="E23" s="107" t="n">
        <v>7500</v>
      </c>
      <c r="F23" s="220">
        <f>C23*E23</f>
        <v/>
      </c>
      <c r="G23" s="220">
        <f>(F23-D23)*C23</f>
        <v/>
      </c>
      <c r="H23" s="220">
        <f>G23*12</f>
        <v/>
      </c>
      <c r="I23" s="221">
        <f>D23*12</f>
        <v/>
      </c>
    </row>
    <row r="24">
      <c r="A24" s="38" t="inlineStr">
        <is>
          <t>Front-end Developer</t>
        </is>
      </c>
      <c r="B24" s="117" t="inlineStr">
        <is>
          <t>???</t>
        </is>
      </c>
      <c r="C24" s="225" t="n">
        <v>1</v>
      </c>
      <c r="D24" s="107" t="n">
        <v>7500</v>
      </c>
      <c r="E24" s="107" t="n">
        <v>7500</v>
      </c>
      <c r="F24" s="220">
        <f>C24*E24</f>
        <v/>
      </c>
      <c r="G24" s="220">
        <f>(F24-D24)*C24</f>
        <v/>
      </c>
      <c r="H24" s="220">
        <f>G24*12</f>
        <v/>
      </c>
      <c r="I24" s="221">
        <f>D24*12</f>
        <v/>
      </c>
    </row>
    <row r="25">
      <c r="A25" s="207" t="n"/>
      <c r="B25" s="191" t="n"/>
      <c r="C25" s="191" t="n"/>
      <c r="D25" s="191" t="n"/>
      <c r="E25" s="191" t="n"/>
      <c r="F25" s="191" t="n"/>
      <c r="G25" s="191" t="n"/>
      <c r="H25" s="191" t="n"/>
      <c r="I25" s="192" t="n"/>
    </row>
    <row r="26">
      <c r="A26" s="207" t="n"/>
      <c r="B26" s="191" t="n"/>
      <c r="C26" s="191" t="n"/>
      <c r="D26" s="191" t="n"/>
      <c r="E26" s="191" t="n"/>
      <c r="F26" s="191" t="n"/>
      <c r="G26" s="191" t="n"/>
      <c r="H26" s="191" t="n"/>
      <c r="I26" s="192" t="n"/>
    </row>
    <row r="27">
      <c r="A27" s="207" t="n"/>
      <c r="B27" s="191" t="n"/>
      <c r="C27" s="191" t="n"/>
      <c r="D27" s="191" t="n"/>
      <c r="E27" s="191" t="n"/>
      <c r="F27" s="191" t="n"/>
      <c r="G27" s="191" t="n"/>
      <c r="H27" s="191" t="n"/>
      <c r="I27" s="192" t="n"/>
    </row>
    <row r="28">
      <c r="A28" s="108" t="inlineStr">
        <is>
          <t>Subtotal</t>
        </is>
      </c>
      <c r="B28" s="112" t="n"/>
      <c r="C28" s="112" t="n"/>
      <c r="D28" s="261">
        <f>sum(D3:D12)</f>
        <v/>
      </c>
      <c r="E28" s="112" t="n"/>
      <c r="F28" s="112" t="n"/>
      <c r="G28" s="261">
        <f>SUM(G3:G12)</f>
        <v/>
      </c>
      <c r="H28" s="261">
        <f>sum(H3:H12)</f>
        <v/>
      </c>
      <c r="I28" s="200">
        <f>sum(I3:I12)</f>
        <v/>
      </c>
    </row>
    <row r="31">
      <c r="J31" s="191" t="n"/>
      <c r="K31" s="191"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BR4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 customWidth="1" style="323" min="1" max="1"/>
    <col width="11.5" customWidth="1" style="323" min="2" max="2"/>
  </cols>
  <sheetData>
    <row r="1">
      <c r="A1" s="1" t="inlineStr">
        <is>
          <t>Deferred Compensation</t>
        </is>
      </c>
      <c r="B1" s="191" t="inlineStr">
        <is>
          <t>May '24</t>
        </is>
      </c>
      <c r="C1" s="191" t="inlineStr">
        <is>
          <t>June '24</t>
        </is>
      </c>
      <c r="D1" s="191" t="inlineStr">
        <is>
          <t>Jul '24</t>
        </is>
      </c>
      <c r="E1" s="191" t="inlineStr">
        <is>
          <t>Aug '24</t>
        </is>
      </c>
      <c r="F1" s="191" t="inlineStr">
        <is>
          <t>Sep '24</t>
        </is>
      </c>
      <c r="G1" s="191" t="inlineStr">
        <is>
          <t>Oct '24</t>
        </is>
      </c>
      <c r="H1" s="191" t="inlineStr">
        <is>
          <t>Nov '24</t>
        </is>
      </c>
      <c r="I1" s="191" t="inlineStr">
        <is>
          <t>Dec '24</t>
        </is>
      </c>
      <c r="J1" s="191" t="inlineStr">
        <is>
          <t>Jan '25</t>
        </is>
      </c>
      <c r="K1" s="191" t="inlineStr">
        <is>
          <t>Feb '25</t>
        </is>
      </c>
      <c r="L1" s="191" t="inlineStr">
        <is>
          <t>Mar '25</t>
        </is>
      </c>
      <c r="M1" s="191" t="inlineStr">
        <is>
          <t>Apr '25</t>
        </is>
      </c>
      <c r="N1" s="191" t="inlineStr">
        <is>
          <t>May '25</t>
        </is>
      </c>
      <c r="O1" s="191" t="inlineStr">
        <is>
          <t>Jun '25</t>
        </is>
      </c>
      <c r="P1" s="191" t="inlineStr">
        <is>
          <t>Jul '25</t>
        </is>
      </c>
      <c r="Q1" s="191" t="inlineStr">
        <is>
          <t>Aug '25</t>
        </is>
      </c>
      <c r="R1" s="191" t="inlineStr">
        <is>
          <t>Sep '25</t>
        </is>
      </c>
      <c r="S1" s="191" t="inlineStr">
        <is>
          <t>Oct '25</t>
        </is>
      </c>
      <c r="T1" s="191" t="inlineStr">
        <is>
          <t>Nov '25</t>
        </is>
      </c>
      <c r="U1" s="191" t="inlineStr">
        <is>
          <t>Dec '25</t>
        </is>
      </c>
      <c r="V1" s="191" t="inlineStr">
        <is>
          <t>Jan '26</t>
        </is>
      </c>
      <c r="W1" s="191" t="inlineStr">
        <is>
          <t>Feb '26</t>
        </is>
      </c>
      <c r="X1" s="191" t="inlineStr">
        <is>
          <t>Mar '26</t>
        </is>
      </c>
      <c r="Y1" s="191" t="inlineStr">
        <is>
          <t>Apr '26</t>
        </is>
      </c>
      <c r="Z1" s="191" t="inlineStr">
        <is>
          <t>May '26</t>
        </is>
      </c>
      <c r="AA1" s="191" t="inlineStr">
        <is>
          <t>Jun '26</t>
        </is>
      </c>
      <c r="AB1" s="191" t="inlineStr">
        <is>
          <t>Jul '26</t>
        </is>
      </c>
      <c r="AC1" s="191" t="inlineStr">
        <is>
          <t>Aug '26</t>
        </is>
      </c>
      <c r="AD1" s="191" t="inlineStr">
        <is>
          <t>Sep '26</t>
        </is>
      </c>
      <c r="AE1" s="191" t="inlineStr">
        <is>
          <t>Oct '26</t>
        </is>
      </c>
      <c r="AF1" s="191" t="inlineStr">
        <is>
          <t>Nov '26</t>
        </is>
      </c>
      <c r="AG1" s="191" t="inlineStr">
        <is>
          <t>Dec '26</t>
        </is>
      </c>
      <c r="AH1" s="191" t="inlineStr">
        <is>
          <t>Jan '27</t>
        </is>
      </c>
      <c r="AI1" s="191" t="inlineStr">
        <is>
          <t>Feb '27</t>
        </is>
      </c>
      <c r="AJ1" s="191" t="inlineStr">
        <is>
          <t>Mar '27</t>
        </is>
      </c>
      <c r="AK1" s="191" t="inlineStr">
        <is>
          <t>Apr '27</t>
        </is>
      </c>
      <c r="AL1" s="191" t="inlineStr">
        <is>
          <t>May '27</t>
        </is>
      </c>
      <c r="AM1" s="191" t="inlineStr">
        <is>
          <t>Jun '27</t>
        </is>
      </c>
      <c r="AN1" s="191" t="inlineStr">
        <is>
          <t>Jul '27</t>
        </is>
      </c>
      <c r="AO1" s="191" t="inlineStr">
        <is>
          <t>Aug '27</t>
        </is>
      </c>
      <c r="AP1" s="191" t="inlineStr">
        <is>
          <t>Sep '27</t>
        </is>
      </c>
      <c r="AQ1" s="191" t="inlineStr">
        <is>
          <t>Oct '27</t>
        </is>
      </c>
      <c r="AR1" s="191" t="inlineStr">
        <is>
          <t>Nov '27</t>
        </is>
      </c>
      <c r="AS1" s="191" t="inlineStr">
        <is>
          <t>Dec '27</t>
        </is>
      </c>
      <c r="AT1" s="191" t="inlineStr">
        <is>
          <t>Jan '28</t>
        </is>
      </c>
      <c r="AU1" s="191" t="inlineStr">
        <is>
          <t>Feb '28</t>
        </is>
      </c>
      <c r="AV1" s="191" t="inlineStr">
        <is>
          <t>Mar '28</t>
        </is>
      </c>
      <c r="AW1" s="191" t="inlineStr">
        <is>
          <t>Apr '28</t>
        </is>
      </c>
      <c r="AX1" s="191" t="inlineStr">
        <is>
          <t>May '28</t>
        </is>
      </c>
      <c r="AY1" s="191" t="inlineStr">
        <is>
          <t>Jun '28</t>
        </is>
      </c>
      <c r="AZ1" s="191" t="inlineStr">
        <is>
          <t>Jul '28</t>
        </is>
      </c>
      <c r="BA1" s="191" t="inlineStr">
        <is>
          <t>Aug '28</t>
        </is>
      </c>
      <c r="BB1" s="191" t="inlineStr">
        <is>
          <t>Sep '28</t>
        </is>
      </c>
      <c r="BC1" s="191" t="inlineStr">
        <is>
          <t>Oct '28</t>
        </is>
      </c>
      <c r="BD1" s="191" t="inlineStr">
        <is>
          <t>Nov '28</t>
        </is>
      </c>
      <c r="BE1" s="191" t="inlineStr">
        <is>
          <t>Dec '28</t>
        </is>
      </c>
      <c r="BF1" s="191" t="inlineStr">
        <is>
          <t>Jan '29</t>
        </is>
      </c>
      <c r="BG1" s="191" t="inlineStr">
        <is>
          <t>Feb '29</t>
        </is>
      </c>
      <c r="BH1" s="191" t="inlineStr">
        <is>
          <t>Mar '29</t>
        </is>
      </c>
      <c r="BI1" s="191" t="inlineStr">
        <is>
          <t>Apr '29</t>
        </is>
      </c>
      <c r="BJ1" s="191" t="inlineStr">
        <is>
          <t>May '29</t>
        </is>
      </c>
      <c r="BK1" s="191" t="inlineStr">
        <is>
          <t>Jun '29</t>
        </is>
      </c>
      <c r="BL1" s="191" t="inlineStr">
        <is>
          <t>Jul '29</t>
        </is>
      </c>
      <c r="BM1" s="191" t="inlineStr">
        <is>
          <t>Aug '29</t>
        </is>
      </c>
      <c r="BN1" s="191" t="inlineStr">
        <is>
          <t>Sep '29</t>
        </is>
      </c>
      <c r="BO1" s="191" t="inlineStr">
        <is>
          <t>Oct '29</t>
        </is>
      </c>
      <c r="BP1" s="191" t="inlineStr">
        <is>
          <t>Nov '29</t>
        </is>
      </c>
      <c r="BQ1" s="191" t="inlineStr">
        <is>
          <t>Dec '29</t>
        </is>
      </c>
      <c r="BR1" s="191" t="inlineStr">
        <is>
          <t>Current Totals</t>
        </is>
      </c>
    </row>
    <row r="2">
      <c r="A2" s="191" t="inlineStr">
        <is>
          <t>Gold Monthly AVG</t>
        </is>
      </c>
      <c r="B2" s="226" t="n">
        <v>2323.7</v>
      </c>
      <c r="C2" s="226" t="n">
        <v>2389.3</v>
      </c>
      <c r="D2" s="226" t="n">
        <v>2468.2</v>
      </c>
      <c r="E2" s="226" t="n">
        <v>2568.1</v>
      </c>
      <c r="F2" s="226" t="n">
        <v>2690</v>
      </c>
      <c r="G2" s="226" t="n">
        <v>2656.1</v>
      </c>
      <c r="H2" s="226" t="n">
        <v>2643.8</v>
      </c>
      <c r="I2" s="226" t="n">
        <v>2707.6</v>
      </c>
      <c r="J2" s="226" t="n">
        <v>2896.7</v>
      </c>
      <c r="K2" s="226" t="n">
        <v>2981.7</v>
      </c>
      <c r="L2" s="226" t="n">
        <v>3212.1</v>
      </c>
      <c r="M2" s="226" t="n">
        <v>3280.5</v>
      </c>
      <c r="N2" s="226" t="n">
        <v>3351.7</v>
      </c>
      <c r="O2" s="226" t="n">
        <v>3346</v>
      </c>
      <c r="P2" s="226" t="n">
        <v>3299</v>
      </c>
      <c r="Q2" s="226" t="n">
        <v>3435</v>
      </c>
      <c r="R2" s="226" t="n">
        <v>3822</v>
      </c>
      <c r="S2" s="226" t="n">
        <v>4342</v>
      </c>
      <c r="T2" s="226" t="n">
        <v>3338.31</v>
      </c>
      <c r="U2" s="226" t="n">
        <v>3338.31</v>
      </c>
      <c r="V2" s="226" t="n">
        <v>3338.31</v>
      </c>
      <c r="W2" s="226" t="n">
        <v>3338.31</v>
      </c>
      <c r="X2" s="226" t="n">
        <v>3338.31</v>
      </c>
      <c r="Y2" s="226" t="n">
        <v>3338.31</v>
      </c>
      <c r="Z2" s="226" t="n">
        <v>3338.31</v>
      </c>
      <c r="AA2" s="226" t="n">
        <v>3338.31</v>
      </c>
      <c r="AB2" s="226" t="n">
        <v>3338.31</v>
      </c>
      <c r="AC2" s="226" t="n">
        <v>3338.31</v>
      </c>
      <c r="AD2" s="226" t="n">
        <v>3338.31</v>
      </c>
      <c r="AE2" s="226" t="n">
        <v>3338.31</v>
      </c>
      <c r="AF2" s="226" t="n">
        <v>3338.31</v>
      </c>
      <c r="AG2" s="226" t="n">
        <v>3338.31</v>
      </c>
      <c r="AH2" s="226" t="n">
        <v>3338.31</v>
      </c>
      <c r="AI2" s="226" t="n">
        <v>3338.31</v>
      </c>
      <c r="AJ2" s="226" t="n">
        <v>3338.31</v>
      </c>
      <c r="AK2" s="226" t="n">
        <v>3338.31</v>
      </c>
      <c r="AL2" s="226" t="n">
        <v>3338.31</v>
      </c>
      <c r="AM2" s="226" t="n">
        <v>3338.31</v>
      </c>
      <c r="AN2" s="226" t="n">
        <v>3338.31</v>
      </c>
      <c r="AO2" s="226" t="n">
        <v>3338.31</v>
      </c>
      <c r="AP2" s="226" t="n">
        <v>3338.31</v>
      </c>
      <c r="AQ2" s="226" t="n">
        <v>3338.31</v>
      </c>
      <c r="AR2" s="226" t="n">
        <v>3338.31</v>
      </c>
      <c r="AS2" s="226" t="n">
        <v>3338.31</v>
      </c>
      <c r="AT2" s="226" t="n">
        <v>3338.31</v>
      </c>
      <c r="AU2" s="226" t="n">
        <v>3338.31</v>
      </c>
      <c r="AV2" s="226" t="n">
        <v>3338.31</v>
      </c>
      <c r="AW2" s="226" t="n">
        <v>3338.31</v>
      </c>
      <c r="AX2" s="226" t="n">
        <v>3338.31</v>
      </c>
      <c r="AY2" s="226" t="n">
        <v>3338.31</v>
      </c>
      <c r="AZ2" s="226" t="n">
        <v>3338.31</v>
      </c>
      <c r="BA2" s="226" t="n">
        <v>3338.31</v>
      </c>
      <c r="BB2" s="226" t="n">
        <v>3338.31</v>
      </c>
      <c r="BC2" s="226" t="n">
        <v>3338.31</v>
      </c>
      <c r="BD2" s="226" t="n">
        <v>3338.31</v>
      </c>
      <c r="BE2" s="226" t="n">
        <v>3338.31</v>
      </c>
      <c r="BF2" s="226" t="n">
        <v>3338.31</v>
      </c>
      <c r="BG2" s="226" t="n">
        <v>3338.31</v>
      </c>
      <c r="BH2" s="226" t="n">
        <v>3338.31</v>
      </c>
      <c r="BI2" s="226" t="n">
        <v>3338.31</v>
      </c>
      <c r="BJ2" s="226" t="n">
        <v>3338.31</v>
      </c>
      <c r="BK2" s="226" t="n">
        <v>3338.31</v>
      </c>
      <c r="BL2" s="226" t="n">
        <v>3338.31</v>
      </c>
      <c r="BM2" s="226" t="n">
        <v>3338.31</v>
      </c>
      <c r="BN2" s="226" t="n">
        <v>3338.31</v>
      </c>
      <c r="BO2" s="226" t="n">
        <v>3338.31</v>
      </c>
      <c r="BP2" s="226" t="n">
        <v>3338.31</v>
      </c>
      <c r="BQ2" s="226" t="n">
        <v>3338.31</v>
      </c>
      <c r="BR2" s="117" t="n"/>
    </row>
    <row r="3">
      <c r="A3" s="191" t="inlineStr">
        <is>
          <t>Originating Team</t>
        </is>
      </c>
      <c r="B3" s="226" t="n"/>
      <c r="C3" s="226" t="n"/>
      <c r="D3" s="226" t="n"/>
      <c r="E3" s="226" t="n"/>
      <c r="F3" s="226" t="n"/>
      <c r="G3" s="226" t="n"/>
      <c r="H3" s="226" t="n"/>
      <c r="I3" s="226" t="n"/>
      <c r="J3" s="226" t="n"/>
      <c r="K3" s="226" t="n"/>
      <c r="L3" s="226" t="n"/>
      <c r="M3" s="226" t="n"/>
      <c r="N3" s="226" t="n"/>
      <c r="O3" s="226" t="n"/>
      <c r="P3" s="226" t="n"/>
      <c r="Q3" s="226" t="n"/>
      <c r="R3" s="226" t="n"/>
      <c r="S3" s="226" t="n"/>
      <c r="T3" s="226" t="n"/>
      <c r="U3" s="226" t="n"/>
      <c r="V3" s="226" t="n"/>
      <c r="W3" s="226" t="n"/>
      <c r="X3" s="226" t="n"/>
      <c r="Y3" s="226" t="n"/>
      <c r="Z3" s="226" t="n"/>
      <c r="AA3" s="226" t="n"/>
      <c r="AB3" s="226" t="n"/>
      <c r="AC3" s="226" t="n"/>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117" t="n"/>
    </row>
    <row r="4">
      <c r="A4" s="117" t="inlineStr">
        <is>
          <t>Art ($)</t>
        </is>
      </c>
      <c r="B4" s="107" t="n">
        <v>0</v>
      </c>
      <c r="C4" s="107" t="n">
        <v>1250</v>
      </c>
      <c r="D4" s="107" t="n">
        <v>1250</v>
      </c>
      <c r="E4" s="107" t="n">
        <v>1250</v>
      </c>
      <c r="F4" s="107" t="n">
        <v>1250</v>
      </c>
      <c r="G4" s="107" t="n">
        <v>1250</v>
      </c>
      <c r="H4" s="107" t="n">
        <v>1250</v>
      </c>
      <c r="I4" s="107" t="n">
        <v>1250</v>
      </c>
      <c r="J4" s="107" t="n">
        <v>7500</v>
      </c>
      <c r="K4" s="107" t="n">
        <v>5000</v>
      </c>
      <c r="L4" s="107" t="n">
        <v>5000</v>
      </c>
      <c r="M4" s="107" t="n">
        <v>5000</v>
      </c>
      <c r="N4" s="107" t="n">
        <v>5000</v>
      </c>
      <c r="O4" s="107" t="n">
        <v>5000</v>
      </c>
      <c r="P4" s="107" t="n">
        <v>5000</v>
      </c>
      <c r="Q4" s="107" t="n">
        <v>5000</v>
      </c>
      <c r="R4" s="107" t="n">
        <v>5000</v>
      </c>
      <c r="S4" s="107" t="n">
        <v>5000</v>
      </c>
      <c r="T4" s="107" t="n">
        <v>5000</v>
      </c>
      <c r="U4" s="107" t="n">
        <v>5000</v>
      </c>
      <c r="V4" s="107" t="n">
        <v>5000</v>
      </c>
      <c r="W4" s="107" t="n">
        <v>5000</v>
      </c>
      <c r="X4" s="107" t="n">
        <v>5000</v>
      </c>
      <c r="Y4" s="107" t="n">
        <v>5000</v>
      </c>
      <c r="Z4" s="107" t="n">
        <v>5000</v>
      </c>
      <c r="AA4" s="107" t="n">
        <v>5000</v>
      </c>
      <c r="AB4" s="107" t="n">
        <v>5000</v>
      </c>
      <c r="AC4" s="107" t="n">
        <v>5000</v>
      </c>
      <c r="AD4" s="107" t="n">
        <v>5000</v>
      </c>
      <c r="AE4" s="107" t="n">
        <v>5000</v>
      </c>
      <c r="AF4" s="107" t="n">
        <v>5000</v>
      </c>
      <c r="AG4" s="107" t="n">
        <v>5000</v>
      </c>
      <c r="AH4" s="107" t="n">
        <v>5000</v>
      </c>
      <c r="AI4" s="107" t="n">
        <v>5000</v>
      </c>
      <c r="AJ4" s="107" t="n">
        <v>5000</v>
      </c>
      <c r="AK4" s="107" t="n">
        <v>5000</v>
      </c>
      <c r="AL4" s="107" t="n">
        <v>5000</v>
      </c>
      <c r="AM4" s="107" t="n">
        <v>5000</v>
      </c>
      <c r="AN4" s="133" t="n">
        <v>0</v>
      </c>
      <c r="AO4" s="133" t="n">
        <v>0</v>
      </c>
      <c r="AP4" s="133" t="n">
        <v>0</v>
      </c>
      <c r="AQ4" s="133" t="n">
        <v>0</v>
      </c>
      <c r="AR4" s="133" t="n">
        <v>0</v>
      </c>
      <c r="AS4" s="133" t="n">
        <v>0</v>
      </c>
      <c r="AT4" s="133">
        <f>Personnel!$G$17</f>
        <v/>
      </c>
      <c r="AU4" s="133">
        <f>Personnel!$G$17</f>
        <v/>
      </c>
      <c r="AV4" s="133">
        <f>Personnel!$G$17</f>
        <v/>
      </c>
      <c r="AW4" s="133">
        <f>Personnel!$G$17</f>
        <v/>
      </c>
      <c r="AX4" s="133">
        <f>Personnel!$G$17</f>
        <v/>
      </c>
      <c r="AY4" s="133">
        <f>Personnel!$G$17</f>
        <v/>
      </c>
      <c r="AZ4" s="133">
        <f>Personnel!$G$17</f>
        <v/>
      </c>
      <c r="BA4" s="133">
        <f>Personnel!$G$17</f>
        <v/>
      </c>
      <c r="BB4" s="133">
        <f>Personnel!$G$17</f>
        <v/>
      </c>
      <c r="BC4" s="133">
        <f>Personnel!$G$17</f>
        <v/>
      </c>
      <c r="BD4" s="133">
        <f>Personnel!$G$17</f>
        <v/>
      </c>
      <c r="BE4" s="133">
        <f>Personnel!$G$17</f>
        <v/>
      </c>
      <c r="BF4" s="133">
        <f>Personnel!$G$17</f>
        <v/>
      </c>
      <c r="BG4" s="133">
        <f>Personnel!$G$17</f>
        <v/>
      </c>
      <c r="BH4" s="133">
        <f>Personnel!$G$17</f>
        <v/>
      </c>
      <c r="BI4" s="133">
        <f>Personnel!$G$17</f>
        <v/>
      </c>
      <c r="BJ4" s="133">
        <f>Personnel!$G$17</f>
        <v/>
      </c>
      <c r="BK4" s="133">
        <f>Personnel!$G$17</f>
        <v/>
      </c>
      <c r="BL4" s="133">
        <f>Personnel!$G$17</f>
        <v/>
      </c>
      <c r="BM4" s="133">
        <f>Personnel!$G$17</f>
        <v/>
      </c>
      <c r="BN4" s="133">
        <f>Personnel!$G$17</f>
        <v/>
      </c>
      <c r="BO4" s="133">
        <f>Personnel!$G$17</f>
        <v/>
      </c>
      <c r="BP4" s="133">
        <f>Personnel!$G$17</f>
        <v/>
      </c>
      <c r="BQ4" s="133">
        <f>Personnel!$G$17</f>
        <v/>
      </c>
      <c r="BR4" s="205">
        <f>sum(B4:U4)</f>
        <v/>
      </c>
    </row>
    <row r="5">
      <c r="A5" s="117" t="inlineStr">
        <is>
          <t>Fera ($)</t>
        </is>
      </c>
      <c r="B5" s="107" t="n">
        <v>0</v>
      </c>
      <c r="C5" s="227" t="n">
        <v>0</v>
      </c>
      <c r="D5" s="227" t="n">
        <v>0</v>
      </c>
      <c r="E5" s="227" t="n">
        <v>0</v>
      </c>
      <c r="F5" s="227" t="n">
        <v>0</v>
      </c>
      <c r="G5" s="227" t="n">
        <v>0</v>
      </c>
      <c r="H5" s="227" t="n">
        <v>0</v>
      </c>
      <c r="I5" s="227" t="n">
        <v>0</v>
      </c>
      <c r="J5" s="227" t="n">
        <v>0</v>
      </c>
      <c r="K5" s="227" t="n">
        <v>0</v>
      </c>
      <c r="L5" s="107" t="n">
        <v>10000</v>
      </c>
      <c r="M5" s="107" t="n">
        <v>10000</v>
      </c>
      <c r="N5" s="107" t="n">
        <v>10000</v>
      </c>
      <c r="O5" s="107" t="n">
        <v>10000</v>
      </c>
      <c r="P5" s="107" t="n">
        <v>10000</v>
      </c>
      <c r="Q5" s="107" t="n">
        <v>10000</v>
      </c>
      <c r="R5" s="107" t="n">
        <v>5000</v>
      </c>
      <c r="S5" s="107" t="n">
        <v>2500</v>
      </c>
      <c r="T5" s="107" t="n">
        <v>2500</v>
      </c>
      <c r="U5" s="107" t="n">
        <v>2500</v>
      </c>
      <c r="V5" s="107" t="n">
        <v>2500</v>
      </c>
      <c r="W5" s="107" t="n">
        <v>2500</v>
      </c>
      <c r="X5" s="107" t="n">
        <v>2500</v>
      </c>
      <c r="Y5" s="107" t="n">
        <v>2500</v>
      </c>
      <c r="Z5" s="107" t="n">
        <v>2500</v>
      </c>
      <c r="AA5" s="107" t="n">
        <v>2500</v>
      </c>
      <c r="AB5" s="107" t="n">
        <v>2500</v>
      </c>
      <c r="AC5" s="107" t="n">
        <v>2500</v>
      </c>
      <c r="AD5" s="107" t="n">
        <v>2500</v>
      </c>
      <c r="AE5" s="107" t="n">
        <v>2500</v>
      </c>
      <c r="AF5" s="107" t="n">
        <v>2500</v>
      </c>
      <c r="AG5" s="107" t="n">
        <v>2500</v>
      </c>
      <c r="AH5" s="107" t="n">
        <v>2500</v>
      </c>
      <c r="AI5" s="107" t="n">
        <v>2500</v>
      </c>
      <c r="AJ5" s="107" t="n">
        <v>2500</v>
      </c>
      <c r="AK5" s="107" t="n">
        <v>2500</v>
      </c>
      <c r="AL5" s="107" t="n">
        <v>2500</v>
      </c>
      <c r="AM5" s="107" t="n">
        <v>2500</v>
      </c>
      <c r="AN5" s="133" t="n">
        <v>0</v>
      </c>
      <c r="AO5" s="133" t="n">
        <v>0</v>
      </c>
      <c r="AP5" s="133" t="n">
        <v>0</v>
      </c>
      <c r="AQ5" s="133" t="n">
        <v>0</v>
      </c>
      <c r="AR5" s="133" t="n">
        <v>0</v>
      </c>
      <c r="AS5" s="133" t="n">
        <v>0</v>
      </c>
      <c r="AT5" s="133">
        <f>Personnel!$G$17</f>
        <v/>
      </c>
      <c r="AU5" s="133">
        <f>Personnel!$G$17</f>
        <v/>
      </c>
      <c r="AV5" s="133">
        <f>Personnel!$G$17</f>
        <v/>
      </c>
      <c r="AW5" s="133">
        <f>Personnel!$G$17</f>
        <v/>
      </c>
      <c r="AX5" s="133">
        <f>Personnel!$G$17</f>
        <v/>
      </c>
      <c r="AY5" s="133">
        <f>Personnel!$G$17</f>
        <v/>
      </c>
      <c r="AZ5" s="133">
        <f>Personnel!$G$17</f>
        <v/>
      </c>
      <c r="BA5" s="133">
        <f>Personnel!$G$17</f>
        <v/>
      </c>
      <c r="BB5" s="133">
        <f>Personnel!$G$17</f>
        <v/>
      </c>
      <c r="BC5" s="133">
        <f>Personnel!$G$17</f>
        <v/>
      </c>
      <c r="BD5" s="133">
        <f>Personnel!$G$17</f>
        <v/>
      </c>
      <c r="BE5" s="133">
        <f>Personnel!$G$17</f>
        <v/>
      </c>
      <c r="BF5" s="133">
        <f>Personnel!$G$17</f>
        <v/>
      </c>
      <c r="BG5" s="133">
        <f>Personnel!$G$17</f>
        <v/>
      </c>
      <c r="BH5" s="133">
        <f>Personnel!$G$17</f>
        <v/>
      </c>
      <c r="BI5" s="133">
        <f>Personnel!$G$17</f>
        <v/>
      </c>
      <c r="BJ5" s="133">
        <f>Personnel!$G$17</f>
        <v/>
      </c>
      <c r="BK5" s="133">
        <f>Personnel!$G$17</f>
        <v/>
      </c>
      <c r="BL5" s="133">
        <f>Personnel!$G$17</f>
        <v/>
      </c>
      <c r="BM5" s="133">
        <f>Personnel!$G$17</f>
        <v/>
      </c>
      <c r="BN5" s="133">
        <f>Personnel!$G$17</f>
        <v/>
      </c>
      <c r="BO5" s="133">
        <f>Personnel!$G$17</f>
        <v/>
      </c>
      <c r="BP5" s="133">
        <f>Personnel!$G$17</f>
        <v/>
      </c>
      <c r="BQ5" s="133">
        <f>Personnel!$G$17</f>
        <v/>
      </c>
      <c r="BR5" s="205">
        <f>sum(B5:U5)</f>
        <v/>
      </c>
    </row>
    <row r="6">
      <c r="A6" s="117" t="inlineStr">
        <is>
          <t>Ken ($)</t>
        </is>
      </c>
      <c r="B6" s="107" t="n">
        <v>0</v>
      </c>
      <c r="C6" s="107" t="n">
        <v>1250</v>
      </c>
      <c r="D6" s="107" t="n">
        <v>1250</v>
      </c>
      <c r="E6" s="107" t="n">
        <v>1250</v>
      </c>
      <c r="F6" s="107" t="n">
        <v>2500</v>
      </c>
      <c r="G6" s="107" t="n">
        <v>2500</v>
      </c>
      <c r="H6" s="107" t="n">
        <v>2500</v>
      </c>
      <c r="I6" s="107" t="n">
        <v>2500</v>
      </c>
      <c r="J6" s="107" t="n">
        <v>7500</v>
      </c>
      <c r="K6" s="107" t="n">
        <v>10000</v>
      </c>
      <c r="L6" s="107" t="n">
        <v>10000</v>
      </c>
      <c r="M6" s="107" t="n">
        <v>10000</v>
      </c>
      <c r="N6" s="107" t="n">
        <v>10000</v>
      </c>
      <c r="O6" s="107" t="n">
        <v>10000</v>
      </c>
      <c r="P6" s="107" t="n">
        <v>10000</v>
      </c>
      <c r="Q6" s="107" t="n">
        <v>10000</v>
      </c>
      <c r="R6" s="107" t="n">
        <v>7500</v>
      </c>
      <c r="S6" s="107" t="n">
        <v>7500</v>
      </c>
      <c r="T6" s="107" t="n">
        <v>5000</v>
      </c>
      <c r="U6" s="107" t="n">
        <v>5000</v>
      </c>
      <c r="V6" s="107" t="n">
        <v>5000</v>
      </c>
      <c r="W6" s="107" t="n">
        <v>5000</v>
      </c>
      <c r="X6" s="107" t="n">
        <v>5000</v>
      </c>
      <c r="Y6" s="107" t="n">
        <v>5000</v>
      </c>
      <c r="Z6" s="107" t="n">
        <v>5000</v>
      </c>
      <c r="AA6" s="107" t="n">
        <v>5000</v>
      </c>
      <c r="AB6" s="107" t="n">
        <v>5000</v>
      </c>
      <c r="AC6" s="107" t="n">
        <v>5000</v>
      </c>
      <c r="AD6" s="107" t="n">
        <v>5000</v>
      </c>
      <c r="AE6" s="107" t="n">
        <v>5000</v>
      </c>
      <c r="AF6" s="107" t="n">
        <v>5000</v>
      </c>
      <c r="AG6" s="107" t="n">
        <v>5000</v>
      </c>
      <c r="AH6" s="107" t="n">
        <v>5000</v>
      </c>
      <c r="AI6" s="107" t="n">
        <v>5000</v>
      </c>
      <c r="AJ6" s="107" t="n">
        <v>5000</v>
      </c>
      <c r="AK6" s="107" t="n">
        <v>5000</v>
      </c>
      <c r="AL6" s="107" t="n">
        <v>5000</v>
      </c>
      <c r="AM6" s="107" t="n">
        <v>5000</v>
      </c>
      <c r="AN6" s="133" t="n">
        <v>0</v>
      </c>
      <c r="AO6" s="133" t="n">
        <v>0</v>
      </c>
      <c r="AP6" s="133" t="n">
        <v>0</v>
      </c>
      <c r="AQ6" s="133" t="n">
        <v>0</v>
      </c>
      <c r="AR6" s="133" t="n">
        <v>0</v>
      </c>
      <c r="AS6" s="133" t="n">
        <v>0</v>
      </c>
      <c r="AT6" s="133">
        <f>Personnel!$G$17</f>
        <v/>
      </c>
      <c r="AU6" s="133">
        <f>Personnel!$G$17</f>
        <v/>
      </c>
      <c r="AV6" s="133">
        <f>Personnel!$G$17</f>
        <v/>
      </c>
      <c r="AW6" s="133">
        <f>Personnel!$G$17</f>
        <v/>
      </c>
      <c r="AX6" s="133">
        <f>Personnel!$G$17</f>
        <v/>
      </c>
      <c r="AY6" s="133">
        <f>Personnel!$G$17</f>
        <v/>
      </c>
      <c r="AZ6" s="133">
        <f>Personnel!$G$17</f>
        <v/>
      </c>
      <c r="BA6" s="133">
        <f>Personnel!$G$17</f>
        <v/>
      </c>
      <c r="BB6" s="133">
        <f>Personnel!$G$17</f>
        <v/>
      </c>
      <c r="BC6" s="133">
        <f>Personnel!$G$17</f>
        <v/>
      </c>
      <c r="BD6" s="133">
        <f>Personnel!$G$17</f>
        <v/>
      </c>
      <c r="BE6" s="133">
        <f>Personnel!$G$17</f>
        <v/>
      </c>
      <c r="BF6" s="133">
        <f>Personnel!$G$17</f>
        <v/>
      </c>
      <c r="BG6" s="133">
        <f>Personnel!$G$17</f>
        <v/>
      </c>
      <c r="BH6" s="133">
        <f>Personnel!$G$17</f>
        <v/>
      </c>
      <c r="BI6" s="133">
        <f>Personnel!$G$17</f>
        <v/>
      </c>
      <c r="BJ6" s="133">
        <f>Personnel!$G$17</f>
        <v/>
      </c>
      <c r="BK6" s="133">
        <f>Personnel!$G$17</f>
        <v/>
      </c>
      <c r="BL6" s="133">
        <f>Personnel!$G$17</f>
        <v/>
      </c>
      <c r="BM6" s="133">
        <f>Personnel!$G$17</f>
        <v/>
      </c>
      <c r="BN6" s="133">
        <f>Personnel!$G$17</f>
        <v/>
      </c>
      <c r="BO6" s="133">
        <f>Personnel!$G$17</f>
        <v/>
      </c>
      <c r="BP6" s="133">
        <f>Personnel!$G$17</f>
        <v/>
      </c>
      <c r="BQ6" s="133">
        <f>Personnel!$G$17</f>
        <v/>
      </c>
      <c r="BR6" s="205">
        <f>sum(B6:U6)</f>
        <v/>
      </c>
    </row>
    <row r="7">
      <c r="A7" s="117" t="inlineStr">
        <is>
          <t>Ishan ($)</t>
        </is>
      </c>
      <c r="B7" s="107" t="n">
        <v>0</v>
      </c>
      <c r="C7" s="107" t="n">
        <v>0</v>
      </c>
      <c r="D7" s="107" t="n">
        <v>0</v>
      </c>
      <c r="E7" s="107" t="n">
        <v>0</v>
      </c>
      <c r="F7" s="107" t="n">
        <v>2500</v>
      </c>
      <c r="G7" s="107" t="n">
        <v>2500</v>
      </c>
      <c r="H7" s="107" t="n">
        <v>2500</v>
      </c>
      <c r="I7" s="107" t="n">
        <v>2500</v>
      </c>
      <c r="J7" s="107" t="n">
        <v>7000</v>
      </c>
      <c r="K7" s="107" t="n">
        <v>7000</v>
      </c>
      <c r="L7" s="107" t="n">
        <v>7000</v>
      </c>
      <c r="M7" s="107" t="n">
        <v>7000</v>
      </c>
      <c r="N7" s="107" t="n">
        <v>7000</v>
      </c>
      <c r="O7" s="107" t="n">
        <v>7000</v>
      </c>
      <c r="P7" s="107" t="n">
        <v>7000</v>
      </c>
      <c r="Q7" s="107" t="n">
        <v>7000</v>
      </c>
      <c r="R7" s="107" t="n">
        <v>4000</v>
      </c>
      <c r="S7" s="107" t="n">
        <v>4000</v>
      </c>
      <c r="T7" s="107" t="n">
        <v>2500</v>
      </c>
      <c r="U7" s="107" t="n">
        <v>2500</v>
      </c>
      <c r="V7" s="107" t="n">
        <v>2500</v>
      </c>
      <c r="W7" s="107" t="n">
        <v>2500</v>
      </c>
      <c r="X7" s="107" t="n">
        <v>2500</v>
      </c>
      <c r="Y7" s="107" t="n">
        <v>2500</v>
      </c>
      <c r="Z7" s="107" t="n">
        <v>2500</v>
      </c>
      <c r="AA7" s="107" t="n">
        <v>2500</v>
      </c>
      <c r="AB7" s="107" t="n">
        <v>2500</v>
      </c>
      <c r="AC7" s="107" t="n">
        <v>2500</v>
      </c>
      <c r="AD7" s="107" t="n">
        <v>2500</v>
      </c>
      <c r="AE7" s="107" t="n">
        <v>2500</v>
      </c>
      <c r="AF7" s="107" t="n">
        <v>2500</v>
      </c>
      <c r="AG7" s="107" t="n">
        <v>2500</v>
      </c>
      <c r="AH7" s="107" t="n">
        <v>2500</v>
      </c>
      <c r="AI7" s="107" t="n">
        <v>2500</v>
      </c>
      <c r="AJ7" s="107" t="n">
        <v>2500</v>
      </c>
      <c r="AK7" s="107" t="n">
        <v>2500</v>
      </c>
      <c r="AL7" s="107" t="n">
        <v>2500</v>
      </c>
      <c r="AM7" s="107" t="n">
        <v>2500</v>
      </c>
      <c r="AN7" s="133" t="n">
        <v>0</v>
      </c>
      <c r="AO7" s="133" t="n">
        <v>0</v>
      </c>
      <c r="AP7" s="133" t="n">
        <v>0</v>
      </c>
      <c r="AQ7" s="133" t="n">
        <v>0</v>
      </c>
      <c r="AR7" s="133" t="n">
        <v>0</v>
      </c>
      <c r="AS7" s="133" t="n">
        <v>0</v>
      </c>
      <c r="AT7" s="133">
        <f>Personnel!$G$17</f>
        <v/>
      </c>
      <c r="AU7" s="133">
        <f>Personnel!$G$17</f>
        <v/>
      </c>
      <c r="AV7" s="133">
        <f>Personnel!$G$17</f>
        <v/>
      </c>
      <c r="AW7" s="133">
        <f>Personnel!$G$17</f>
        <v/>
      </c>
      <c r="AX7" s="133">
        <f>Personnel!$G$17</f>
        <v/>
      </c>
      <c r="AY7" s="133">
        <f>Personnel!$G$17</f>
        <v/>
      </c>
      <c r="AZ7" s="133">
        <f>Personnel!$G$17</f>
        <v/>
      </c>
      <c r="BA7" s="133">
        <f>Personnel!$G$17</f>
        <v/>
      </c>
      <c r="BB7" s="133">
        <f>Personnel!$G$17</f>
        <v/>
      </c>
      <c r="BC7" s="133">
        <f>Personnel!$G$17</f>
        <v/>
      </c>
      <c r="BD7" s="133">
        <f>Personnel!$G$17</f>
        <v/>
      </c>
      <c r="BE7" s="133">
        <f>Personnel!$G$17</f>
        <v/>
      </c>
      <c r="BF7" s="133">
        <f>Personnel!$G$17</f>
        <v/>
      </c>
      <c r="BG7" s="133">
        <f>Personnel!$G$17</f>
        <v/>
      </c>
      <c r="BH7" s="133">
        <f>Personnel!$G$17</f>
        <v/>
      </c>
      <c r="BI7" s="133">
        <f>Personnel!$G$17</f>
        <v/>
      </c>
      <c r="BJ7" s="133">
        <f>Personnel!$G$17</f>
        <v/>
      </c>
      <c r="BK7" s="133">
        <f>Personnel!$G$17</f>
        <v/>
      </c>
      <c r="BL7" s="133">
        <f>Personnel!$G$17</f>
        <v/>
      </c>
      <c r="BM7" s="133">
        <f>Personnel!$G$17</f>
        <v/>
      </c>
      <c r="BN7" s="133">
        <f>Personnel!$G$17</f>
        <v/>
      </c>
      <c r="BO7" s="133">
        <f>Personnel!$G$17</f>
        <v/>
      </c>
      <c r="BP7" s="133">
        <f>Personnel!$G$17</f>
        <v/>
      </c>
      <c r="BQ7" s="133">
        <f>Personnel!$G$17</f>
        <v/>
      </c>
      <c r="BR7" s="205">
        <f>sum(B7:U7)</f>
        <v/>
      </c>
    </row>
    <row r="8">
      <c r="A8" s="117" t="inlineStr">
        <is>
          <t>Josie ($)</t>
        </is>
      </c>
      <c r="B8" s="107" t="n">
        <v>0</v>
      </c>
      <c r="C8" s="107" t="n">
        <v>0</v>
      </c>
      <c r="D8" s="107" t="n">
        <v>0</v>
      </c>
      <c r="E8" s="107" t="n">
        <v>0</v>
      </c>
      <c r="F8" s="107" t="n">
        <v>0</v>
      </c>
      <c r="G8" s="107" t="n">
        <v>0</v>
      </c>
      <c r="H8" s="107" t="n">
        <v>0</v>
      </c>
      <c r="I8" s="107" t="n">
        <v>0</v>
      </c>
      <c r="J8" s="107" t="n">
        <v>2500</v>
      </c>
      <c r="K8" s="107" t="n">
        <v>2500</v>
      </c>
      <c r="L8" s="107" t="n">
        <v>1250</v>
      </c>
      <c r="M8" s="107" t="n">
        <v>1250</v>
      </c>
      <c r="N8" s="107" t="n">
        <v>0</v>
      </c>
      <c r="O8" s="107" t="n">
        <v>0</v>
      </c>
      <c r="P8" s="107" t="n">
        <v>0</v>
      </c>
      <c r="Q8" s="107" t="n">
        <v>0</v>
      </c>
      <c r="R8" s="107" t="n">
        <v>0</v>
      </c>
      <c r="S8" s="107" t="n">
        <v>0</v>
      </c>
      <c r="T8" s="107" t="n">
        <v>0</v>
      </c>
      <c r="U8" s="107" t="n">
        <v>0</v>
      </c>
      <c r="V8" s="107" t="n">
        <v>0</v>
      </c>
      <c r="W8" s="107" t="n">
        <v>0</v>
      </c>
      <c r="X8" s="107" t="n">
        <v>0</v>
      </c>
      <c r="Y8" s="107" t="n">
        <v>0</v>
      </c>
      <c r="Z8" s="107" t="n">
        <v>0</v>
      </c>
      <c r="AA8" s="107" t="n">
        <v>0</v>
      </c>
      <c r="AB8" s="107" t="n">
        <v>0</v>
      </c>
      <c r="AC8" s="107" t="n">
        <v>0</v>
      </c>
      <c r="AD8" s="107" t="n">
        <v>0</v>
      </c>
      <c r="AE8" s="107" t="n">
        <v>0</v>
      </c>
      <c r="AF8" s="107" t="n">
        <v>0</v>
      </c>
      <c r="AG8" s="107" t="n">
        <v>0</v>
      </c>
      <c r="AH8" s="107" t="n">
        <v>0</v>
      </c>
      <c r="AI8" s="107" t="n">
        <v>0</v>
      </c>
      <c r="AJ8" s="107" t="n">
        <v>0</v>
      </c>
      <c r="AK8" s="107" t="n">
        <v>0</v>
      </c>
      <c r="AL8" s="107" t="n">
        <v>0</v>
      </c>
      <c r="AM8" s="107" t="n">
        <v>0</v>
      </c>
      <c r="AN8" s="133" t="n">
        <v>0</v>
      </c>
      <c r="AO8" s="133" t="n">
        <v>0</v>
      </c>
      <c r="AP8" s="133" t="n">
        <v>0</v>
      </c>
      <c r="AQ8" s="133" t="n">
        <v>0</v>
      </c>
      <c r="AR8" s="133" t="n">
        <v>0</v>
      </c>
      <c r="AS8" s="133" t="n">
        <v>0</v>
      </c>
      <c r="AT8" s="133">
        <f>Personnel!$G$17</f>
        <v/>
      </c>
      <c r="AU8" s="133">
        <f>Personnel!$G$17</f>
        <v/>
      </c>
      <c r="AV8" s="133">
        <f>Personnel!$G$17</f>
        <v/>
      </c>
      <c r="AW8" s="133">
        <f>Personnel!$G$17</f>
        <v/>
      </c>
      <c r="AX8" s="133">
        <f>Personnel!$G$17</f>
        <v/>
      </c>
      <c r="AY8" s="133">
        <f>Personnel!$G$17</f>
        <v/>
      </c>
      <c r="AZ8" s="133">
        <f>Personnel!$G$17</f>
        <v/>
      </c>
      <c r="BA8" s="133">
        <f>Personnel!$G$17</f>
        <v/>
      </c>
      <c r="BB8" s="133">
        <f>Personnel!$G$17</f>
        <v/>
      </c>
      <c r="BC8" s="133">
        <f>Personnel!$G$17</f>
        <v/>
      </c>
      <c r="BD8" s="133">
        <f>Personnel!$G$17</f>
        <v/>
      </c>
      <c r="BE8" s="133">
        <f>Personnel!$G$17</f>
        <v/>
      </c>
      <c r="BF8" s="133">
        <f>Personnel!$G$17</f>
        <v/>
      </c>
      <c r="BG8" s="133">
        <f>Personnel!$G$17</f>
        <v/>
      </c>
      <c r="BH8" s="133">
        <f>Personnel!$G$17</f>
        <v/>
      </c>
      <c r="BI8" s="133">
        <f>Personnel!$G$17</f>
        <v/>
      </c>
      <c r="BJ8" s="133">
        <f>Personnel!$G$17</f>
        <v/>
      </c>
      <c r="BK8" s="133">
        <f>Personnel!$G$17</f>
        <v/>
      </c>
      <c r="BL8" s="133">
        <f>Personnel!$G$17</f>
        <v/>
      </c>
      <c r="BM8" s="133">
        <f>Personnel!$G$17</f>
        <v/>
      </c>
      <c r="BN8" s="133">
        <f>Personnel!$G$17</f>
        <v/>
      </c>
      <c r="BO8" s="133">
        <f>Personnel!$G$17</f>
        <v/>
      </c>
      <c r="BP8" s="133">
        <f>Personnel!$G$17</f>
        <v/>
      </c>
      <c r="BQ8" s="133">
        <f>Personnel!$G$17</f>
        <v/>
      </c>
      <c r="BR8" s="205">
        <f>sum(B8:L8)</f>
        <v/>
      </c>
    </row>
    <row r="9">
      <c r="A9" s="117" t="inlineStr">
        <is>
          <t>Nicole ($)</t>
        </is>
      </c>
      <c r="B9" s="107" t="n">
        <v>0</v>
      </c>
      <c r="C9" s="107" t="n">
        <v>0</v>
      </c>
      <c r="D9" s="107" t="n">
        <v>625</v>
      </c>
      <c r="E9" s="107" t="n">
        <v>625</v>
      </c>
      <c r="F9" s="107" t="n">
        <v>1250</v>
      </c>
      <c r="G9" s="107" t="n">
        <v>1250</v>
      </c>
      <c r="H9" s="107" t="n">
        <v>1250</v>
      </c>
      <c r="I9" s="107" t="n">
        <v>1250</v>
      </c>
      <c r="J9" s="107" t="n">
        <v>1250</v>
      </c>
      <c r="K9" s="107" t="n">
        <v>3750</v>
      </c>
      <c r="L9" s="107" t="n">
        <v>1250</v>
      </c>
      <c r="M9" s="107" t="n">
        <v>1250</v>
      </c>
      <c r="N9" s="107" t="n">
        <v>1250</v>
      </c>
      <c r="O9" s="107" t="n">
        <v>1250</v>
      </c>
      <c r="P9" s="107" t="n">
        <v>1250</v>
      </c>
      <c r="Q9" s="107" t="n">
        <v>1250</v>
      </c>
      <c r="R9" s="107" t="n">
        <v>1250</v>
      </c>
      <c r="S9" s="107" t="n">
        <v>1250</v>
      </c>
      <c r="T9" s="107" t="n">
        <v>1250</v>
      </c>
      <c r="U9" s="107" t="n">
        <v>1250</v>
      </c>
      <c r="V9" s="107" t="n">
        <v>1250</v>
      </c>
      <c r="W9" s="107" t="n">
        <v>1250</v>
      </c>
      <c r="X9" s="107" t="n">
        <v>1250</v>
      </c>
      <c r="Y9" s="107" t="n">
        <v>1250</v>
      </c>
      <c r="Z9" s="107" t="n">
        <v>1250</v>
      </c>
      <c r="AA9" s="107" t="n">
        <v>1250</v>
      </c>
      <c r="AB9" s="107" t="n">
        <v>1250</v>
      </c>
      <c r="AC9" s="107" t="n">
        <v>1250</v>
      </c>
      <c r="AD9" s="107" t="n">
        <v>1250</v>
      </c>
      <c r="AE9" s="107" t="n">
        <v>1250</v>
      </c>
      <c r="AF9" s="107" t="n">
        <v>1250</v>
      </c>
      <c r="AG9" s="107" t="n">
        <v>1250</v>
      </c>
      <c r="AH9" s="107" t="n">
        <v>1250</v>
      </c>
      <c r="AI9" s="107" t="n">
        <v>1250</v>
      </c>
      <c r="AJ9" s="107" t="n">
        <v>1250</v>
      </c>
      <c r="AK9" s="107" t="n">
        <v>1250</v>
      </c>
      <c r="AL9" s="107" t="n">
        <v>1250</v>
      </c>
      <c r="AM9" s="107" t="n">
        <v>1250</v>
      </c>
      <c r="AN9" s="133" t="n">
        <v>0</v>
      </c>
      <c r="AO9" s="133" t="n">
        <v>0</v>
      </c>
      <c r="AP9" s="133" t="n">
        <v>0</v>
      </c>
      <c r="AQ9" s="133" t="n">
        <v>0</v>
      </c>
      <c r="AR9" s="133" t="n">
        <v>0</v>
      </c>
      <c r="AS9" s="133" t="n">
        <v>0</v>
      </c>
      <c r="AT9" s="133">
        <f>Personnel!$G$17</f>
        <v/>
      </c>
      <c r="AU9" s="133">
        <f>Personnel!$G$17</f>
        <v/>
      </c>
      <c r="AV9" s="133">
        <f>Personnel!$G$17</f>
        <v/>
      </c>
      <c r="AW9" s="133">
        <f>Personnel!$G$17</f>
        <v/>
      </c>
      <c r="AX9" s="133">
        <f>Personnel!$G$17</f>
        <v/>
      </c>
      <c r="AY9" s="133">
        <f>Personnel!$G$17</f>
        <v/>
      </c>
      <c r="AZ9" s="133">
        <f>Personnel!$G$17</f>
        <v/>
      </c>
      <c r="BA9" s="133">
        <f>Personnel!$G$17</f>
        <v/>
      </c>
      <c r="BB9" s="133">
        <f>Personnel!$G$17</f>
        <v/>
      </c>
      <c r="BC9" s="133">
        <f>Personnel!$G$17</f>
        <v/>
      </c>
      <c r="BD9" s="133">
        <f>Personnel!$G$17</f>
        <v/>
      </c>
      <c r="BE9" s="133">
        <f>Personnel!$G$17</f>
        <v/>
      </c>
      <c r="BF9" s="133">
        <f>Personnel!$G$17</f>
        <v/>
      </c>
      <c r="BG9" s="133">
        <f>Personnel!$G$17</f>
        <v/>
      </c>
      <c r="BH9" s="133">
        <f>Personnel!$G$17</f>
        <v/>
      </c>
      <c r="BI9" s="133">
        <f>Personnel!$G$17</f>
        <v/>
      </c>
      <c r="BJ9" s="133">
        <f>Personnel!$G$17</f>
        <v/>
      </c>
      <c r="BK9" s="133">
        <f>Personnel!$G$17</f>
        <v/>
      </c>
      <c r="BL9" s="133">
        <f>Personnel!$G$17</f>
        <v/>
      </c>
      <c r="BM9" s="133">
        <f>Personnel!$G$17</f>
        <v/>
      </c>
      <c r="BN9" s="133">
        <f>Personnel!$G$17</f>
        <v/>
      </c>
      <c r="BO9" s="133">
        <f>Personnel!$G$17</f>
        <v/>
      </c>
      <c r="BP9" s="133">
        <f>Personnel!$G$17</f>
        <v/>
      </c>
      <c r="BQ9" s="133">
        <f>Personnel!$G$17</f>
        <v/>
      </c>
      <c r="BR9" s="205">
        <f>sum(B9:L9)</f>
        <v/>
      </c>
    </row>
    <row r="10">
      <c r="A10" s="117" t="inlineStr">
        <is>
          <t>Garrett ($)</t>
        </is>
      </c>
      <c r="B10" s="107" t="n">
        <v>0</v>
      </c>
      <c r="C10" s="107" t="n">
        <v>0</v>
      </c>
      <c r="D10" s="107" t="n">
        <v>625</v>
      </c>
      <c r="E10" s="107" t="n">
        <v>625</v>
      </c>
      <c r="F10" s="107" t="n">
        <v>625</v>
      </c>
      <c r="G10" s="107" t="n">
        <v>625</v>
      </c>
      <c r="H10" s="107" t="n">
        <v>625</v>
      </c>
      <c r="I10" s="107" t="n">
        <v>625</v>
      </c>
      <c r="J10" s="107" t="n">
        <v>1250</v>
      </c>
      <c r="K10" s="107" t="n">
        <v>625</v>
      </c>
      <c r="L10" s="107" t="n">
        <v>625</v>
      </c>
      <c r="M10" s="107" t="n">
        <v>0</v>
      </c>
      <c r="N10" s="107" t="n">
        <v>0</v>
      </c>
      <c r="O10" s="107" t="n">
        <v>0</v>
      </c>
      <c r="P10" s="107" t="n">
        <v>0</v>
      </c>
      <c r="Q10" s="107" t="n">
        <v>0</v>
      </c>
      <c r="R10" s="107" t="n">
        <v>0</v>
      </c>
      <c r="S10" s="107" t="n">
        <v>0</v>
      </c>
      <c r="T10" s="107" t="n">
        <v>0</v>
      </c>
      <c r="U10" s="107" t="n">
        <v>0</v>
      </c>
      <c r="V10" s="107" t="n">
        <v>0</v>
      </c>
      <c r="W10" s="107" t="n">
        <v>0</v>
      </c>
      <c r="X10" s="107" t="n">
        <v>0</v>
      </c>
      <c r="Y10" s="107" t="n">
        <v>0</v>
      </c>
      <c r="Z10" s="107" t="n">
        <v>0</v>
      </c>
      <c r="AA10" s="107" t="n">
        <v>0</v>
      </c>
      <c r="AB10" s="107" t="n">
        <v>0</v>
      </c>
      <c r="AC10" s="107" t="n">
        <v>0</v>
      </c>
      <c r="AD10" s="107" t="n">
        <v>0</v>
      </c>
      <c r="AE10" s="107" t="n">
        <v>0</v>
      </c>
      <c r="AF10" s="107" t="n">
        <v>0</v>
      </c>
      <c r="AG10" s="107" t="n">
        <v>0</v>
      </c>
      <c r="AH10" s="107" t="n">
        <v>0</v>
      </c>
      <c r="AI10" s="107" t="n">
        <v>0</v>
      </c>
      <c r="AJ10" s="107" t="n">
        <v>0</v>
      </c>
      <c r="AK10" s="107" t="n">
        <v>0</v>
      </c>
      <c r="AL10" s="107" t="n">
        <v>0</v>
      </c>
      <c r="AM10" s="107" t="n">
        <v>0</v>
      </c>
      <c r="AN10" s="133" t="n">
        <v>0</v>
      </c>
      <c r="AO10" s="133" t="n">
        <v>0</v>
      </c>
      <c r="AP10" s="133" t="n">
        <v>0</v>
      </c>
      <c r="AQ10" s="133" t="n">
        <v>0</v>
      </c>
      <c r="AR10" s="133" t="n">
        <v>0</v>
      </c>
      <c r="AS10" s="133" t="n">
        <v>0</v>
      </c>
      <c r="AT10" s="133">
        <f>Personnel!$G$17</f>
        <v/>
      </c>
      <c r="AU10" s="133">
        <f>Personnel!$G$17</f>
        <v/>
      </c>
      <c r="AV10" s="133">
        <f>Personnel!$G$17</f>
        <v/>
      </c>
      <c r="AW10" s="133">
        <f>Personnel!$G$17</f>
        <v/>
      </c>
      <c r="AX10" s="133">
        <f>Personnel!$G$17</f>
        <v/>
      </c>
      <c r="AY10" s="133">
        <f>Personnel!$G$17</f>
        <v/>
      </c>
      <c r="AZ10" s="133">
        <f>Personnel!$G$17</f>
        <v/>
      </c>
      <c r="BA10" s="133">
        <f>Personnel!$G$17</f>
        <v/>
      </c>
      <c r="BB10" s="133">
        <f>Personnel!$G$17</f>
        <v/>
      </c>
      <c r="BC10" s="133">
        <f>Personnel!$G$17</f>
        <v/>
      </c>
      <c r="BD10" s="133">
        <f>Personnel!$G$17</f>
        <v/>
      </c>
      <c r="BE10" s="133">
        <f>Personnel!$G$17</f>
        <v/>
      </c>
      <c r="BF10" s="133">
        <f>Personnel!$G$17</f>
        <v/>
      </c>
      <c r="BG10" s="133">
        <f>Personnel!$G$17</f>
        <v/>
      </c>
      <c r="BH10" s="133">
        <f>Personnel!$G$17</f>
        <v/>
      </c>
      <c r="BI10" s="133">
        <f>Personnel!$G$17</f>
        <v/>
      </c>
      <c r="BJ10" s="133">
        <f>Personnel!$G$17</f>
        <v/>
      </c>
      <c r="BK10" s="133">
        <f>Personnel!$G$17</f>
        <v/>
      </c>
      <c r="BL10" s="133">
        <f>Personnel!$G$17</f>
        <v/>
      </c>
      <c r="BM10" s="133">
        <f>Personnel!$G$17</f>
        <v/>
      </c>
      <c r="BN10" s="133">
        <f>Personnel!$G$17</f>
        <v/>
      </c>
      <c r="BO10" s="133">
        <f>Personnel!$G$17</f>
        <v/>
      </c>
      <c r="BP10" s="133">
        <f>Personnel!$G$17</f>
        <v/>
      </c>
      <c r="BQ10" s="133">
        <f>Personnel!$G$17</f>
        <v/>
      </c>
      <c r="BR10" s="205">
        <f>sum(B10:L10)</f>
        <v/>
      </c>
    </row>
    <row r="11">
      <c r="A11" s="128" t="n"/>
      <c r="B11" s="220" t="n"/>
      <c r="C11" s="220" t="n"/>
      <c r="D11" s="220" t="n"/>
      <c r="E11" s="220" t="n"/>
      <c r="F11" s="220" t="n"/>
      <c r="G11" s="220" t="n"/>
      <c r="H11" s="220" t="n"/>
      <c r="I11" s="220" t="n"/>
      <c r="J11" s="220" t="n"/>
      <c r="K11" s="220" t="n"/>
      <c r="L11" s="220" t="n"/>
      <c r="M11" s="220" t="n"/>
      <c r="N11" s="220" t="n"/>
      <c r="O11" s="220" t="n"/>
      <c r="P11" s="220" t="n"/>
      <c r="Q11" s="220" t="n"/>
      <c r="R11" s="220" t="n"/>
      <c r="S11" s="220" t="n"/>
      <c r="T11" s="220" t="n"/>
      <c r="U11" s="220" t="n"/>
      <c r="V11" s="220" t="n"/>
      <c r="W11" s="220" t="n"/>
      <c r="X11" s="220" t="n"/>
      <c r="Y11" s="220" t="n"/>
      <c r="Z11" s="220" t="n"/>
      <c r="AA11" s="220" t="n"/>
      <c r="AB11" s="220" t="n"/>
      <c r="AC11" s="220" t="n"/>
      <c r="AD11" s="220" t="n"/>
      <c r="AE11" s="220" t="n"/>
      <c r="AF11" s="220" t="n"/>
      <c r="AG11" s="220" t="n"/>
      <c r="AH11" s="220" t="n"/>
      <c r="AI11" s="220" t="n"/>
      <c r="AJ11" s="220" t="n"/>
      <c r="AK11" s="220" t="n"/>
      <c r="AL11" s="220" t="n"/>
      <c r="AM11" s="220" t="n"/>
      <c r="AN11" s="220" t="n"/>
      <c r="AO11" s="220" t="n"/>
      <c r="AP11" s="220" t="n"/>
      <c r="AQ11" s="220" t="n"/>
      <c r="AR11" s="220" t="n"/>
      <c r="AS11" s="220" t="n"/>
      <c r="AT11" s="220" t="n"/>
      <c r="AU11" s="220" t="n"/>
      <c r="AV11" s="220" t="n"/>
      <c r="AW11" s="220" t="n"/>
      <c r="AX11" s="220" t="n"/>
      <c r="AY11" s="220" t="n"/>
      <c r="AZ11" s="220" t="n"/>
      <c r="BA11" s="220" t="n"/>
      <c r="BB11" s="220" t="n"/>
      <c r="BC11" s="220" t="n"/>
      <c r="BD11" s="220" t="n"/>
      <c r="BE11" s="220" t="n"/>
      <c r="BF11" s="220" t="n"/>
      <c r="BG11" s="220" t="n"/>
      <c r="BH11" s="220" t="n"/>
      <c r="BI11" s="220" t="n"/>
      <c r="BJ11" s="220" t="n"/>
      <c r="BK11" s="220" t="n"/>
      <c r="BL11" s="220" t="n"/>
      <c r="BM11" s="220" t="n"/>
      <c r="BN11" s="220" t="n"/>
      <c r="BO11" s="220" t="n"/>
      <c r="BP11" s="220" t="n"/>
      <c r="BQ11" s="220" t="n"/>
      <c r="BR11" s="220" t="n"/>
    </row>
    <row r="12">
      <c r="A12" s="117" t="inlineStr">
        <is>
          <t>Art (oz)</t>
        </is>
      </c>
      <c r="B12" s="87">
        <f>B4/B2</f>
        <v/>
      </c>
      <c r="C12" s="87">
        <f>C4/C2</f>
        <v/>
      </c>
      <c r="D12" s="87">
        <f>D4/D2</f>
        <v/>
      </c>
      <c r="E12" s="87">
        <f>E4/E2</f>
        <v/>
      </c>
      <c r="F12" s="87">
        <f>F4/F2</f>
        <v/>
      </c>
      <c r="G12" s="87">
        <f>G4/G2</f>
        <v/>
      </c>
      <c r="H12" s="87">
        <f>H4/H2</f>
        <v/>
      </c>
      <c r="I12" s="87">
        <f>I4/I2</f>
        <v/>
      </c>
      <c r="J12" s="87">
        <f>J4/J2</f>
        <v/>
      </c>
      <c r="K12" s="87">
        <f>K4/K2</f>
        <v/>
      </c>
      <c r="L12" s="87">
        <f>L4/L2</f>
        <v/>
      </c>
      <c r="M12" s="87">
        <f>M4/M2</f>
        <v/>
      </c>
      <c r="N12" s="87">
        <f>N4/N2</f>
        <v/>
      </c>
      <c r="O12" s="87">
        <f>O4/O2</f>
        <v/>
      </c>
      <c r="P12" s="87">
        <f>P4/P2</f>
        <v/>
      </c>
      <c r="Q12" s="87">
        <f>Q4/Q2</f>
        <v/>
      </c>
      <c r="R12" s="87">
        <f>R4/R2</f>
        <v/>
      </c>
      <c r="S12" s="87">
        <f>S4/S2</f>
        <v/>
      </c>
      <c r="T12" s="87">
        <f>T4/T2</f>
        <v/>
      </c>
      <c r="U12" s="87">
        <f>U4/U2</f>
        <v/>
      </c>
      <c r="V12" s="87">
        <f>V4/V2</f>
        <v/>
      </c>
      <c r="W12" s="87">
        <f>W4/W2</f>
        <v/>
      </c>
      <c r="X12" s="87">
        <f>X4/X2</f>
        <v/>
      </c>
      <c r="Y12" s="87">
        <f>Y4/Y2</f>
        <v/>
      </c>
      <c r="Z12" s="87">
        <f>Z4/Z2</f>
        <v/>
      </c>
      <c r="AA12" s="87">
        <f>AA4/AA2</f>
        <v/>
      </c>
      <c r="AB12" s="87">
        <f>AB4/AB2</f>
        <v/>
      </c>
      <c r="AC12" s="87">
        <f>AC4/AC2</f>
        <v/>
      </c>
      <c r="AD12" s="87">
        <f>AD4/AD2</f>
        <v/>
      </c>
      <c r="AE12" s="87">
        <f>AE4/AE2</f>
        <v/>
      </c>
      <c r="AF12" s="87">
        <f>AF4/AF2</f>
        <v/>
      </c>
      <c r="AG12" s="87">
        <f>AG4/AG2</f>
        <v/>
      </c>
      <c r="AH12" s="87">
        <f>AH4/AH2</f>
        <v/>
      </c>
      <c r="AI12" s="87">
        <f>AI4/AI2</f>
        <v/>
      </c>
      <c r="AJ12" s="87">
        <f>AJ4/AJ2</f>
        <v/>
      </c>
      <c r="AK12" s="87">
        <f>AK4/AK2</f>
        <v/>
      </c>
      <c r="AL12" s="87">
        <f>AL4/AL2</f>
        <v/>
      </c>
      <c r="AM12" s="87">
        <f>AM4/AM2</f>
        <v/>
      </c>
      <c r="AN12" s="87">
        <f>AN4/AN2</f>
        <v/>
      </c>
      <c r="AO12" s="87">
        <f>AO4/AO2</f>
        <v/>
      </c>
      <c r="AP12" s="87">
        <f>AP4/AP2</f>
        <v/>
      </c>
      <c r="AQ12" s="87">
        <f>AQ4/AQ2</f>
        <v/>
      </c>
      <c r="AR12" s="87">
        <f>AR4/AR2</f>
        <v/>
      </c>
      <c r="AS12" s="87">
        <f>AS4/AS2</f>
        <v/>
      </c>
      <c r="AT12" s="87" t="n"/>
      <c r="AU12" s="87" t="n"/>
      <c r="AV12" s="87" t="n"/>
      <c r="AW12" s="87" t="n"/>
      <c r="AX12" s="87" t="n"/>
      <c r="AY12" s="87" t="n"/>
      <c r="AZ12" s="87" t="n"/>
      <c r="BA12" s="87" t="n"/>
      <c r="BB12" s="87" t="n"/>
      <c r="BC12" s="87" t="n"/>
      <c r="BD12" s="87" t="n"/>
      <c r="BE12" s="87" t="n"/>
      <c r="BF12" s="87" t="n"/>
      <c r="BG12" s="87" t="n"/>
      <c r="BH12" s="87" t="n"/>
      <c r="BI12" s="87" t="n"/>
      <c r="BJ12" s="87" t="n"/>
      <c r="BK12" s="87" t="n"/>
      <c r="BL12" s="87" t="n"/>
      <c r="BM12" s="87" t="n"/>
      <c r="BN12" s="87" t="n"/>
      <c r="BO12" s="87" t="n"/>
      <c r="BP12" s="87" t="n"/>
      <c r="BQ12" s="87" t="n"/>
      <c r="BR12" s="228">
        <f>SUM(B12:U12)</f>
        <v/>
      </c>
    </row>
    <row r="13">
      <c r="A13" s="117" t="inlineStr">
        <is>
          <t>Fera (oz)</t>
        </is>
      </c>
      <c r="B13" s="87">
        <f>B5/B2</f>
        <v/>
      </c>
      <c r="C13" s="87">
        <f>C5/C2</f>
        <v/>
      </c>
      <c r="D13" s="87">
        <f>D5/D2</f>
        <v/>
      </c>
      <c r="E13" s="87">
        <f>E5/E2</f>
        <v/>
      </c>
      <c r="F13" s="87">
        <f>F5/F2</f>
        <v/>
      </c>
      <c r="G13" s="87">
        <f>G5/G2</f>
        <v/>
      </c>
      <c r="H13" s="87">
        <f>H5/H2</f>
        <v/>
      </c>
      <c r="I13" s="87">
        <f>I5/I2</f>
        <v/>
      </c>
      <c r="J13" s="87">
        <f>J5/J2</f>
        <v/>
      </c>
      <c r="K13" s="87">
        <f>K5/K2</f>
        <v/>
      </c>
      <c r="L13" s="87">
        <f>L5/L2</f>
        <v/>
      </c>
      <c r="M13" s="87">
        <f>M5/M2</f>
        <v/>
      </c>
      <c r="N13" s="87">
        <f>N5/N2</f>
        <v/>
      </c>
      <c r="O13" s="87">
        <f>O5/O2</f>
        <v/>
      </c>
      <c r="P13" s="87">
        <f>P5/P2</f>
        <v/>
      </c>
      <c r="Q13" s="87">
        <f>Q5/Q2</f>
        <v/>
      </c>
      <c r="R13" s="87">
        <f>R5/R2</f>
        <v/>
      </c>
      <c r="S13" s="87">
        <f>S5/S2</f>
        <v/>
      </c>
      <c r="T13" s="87">
        <f>T5/T2</f>
        <v/>
      </c>
      <c r="U13" s="87">
        <f>U5/U2</f>
        <v/>
      </c>
      <c r="V13" s="87">
        <f>V5/V2</f>
        <v/>
      </c>
      <c r="W13" s="87">
        <f>W5/W2</f>
        <v/>
      </c>
      <c r="X13" s="87">
        <f>X5/X2</f>
        <v/>
      </c>
      <c r="Y13" s="87">
        <f>Y5/Y2</f>
        <v/>
      </c>
      <c r="Z13" s="87">
        <f>Z5/Z2</f>
        <v/>
      </c>
      <c r="AA13" s="87">
        <f>AA5/AA2</f>
        <v/>
      </c>
      <c r="AB13" s="87">
        <f>AB5/AB2</f>
        <v/>
      </c>
      <c r="AC13" s="87">
        <f>AC5/AC2</f>
        <v/>
      </c>
      <c r="AD13" s="87">
        <f>AD5/AD2</f>
        <v/>
      </c>
      <c r="AE13" s="87">
        <f>AE5/AE2</f>
        <v/>
      </c>
      <c r="AF13" s="87">
        <f>AF5/AF2</f>
        <v/>
      </c>
      <c r="AG13" s="87">
        <f>AG5/AG2</f>
        <v/>
      </c>
      <c r="AH13" s="87">
        <f>AH5/AH2</f>
        <v/>
      </c>
      <c r="AI13" s="87">
        <f>AI5/AI2</f>
        <v/>
      </c>
      <c r="AJ13" s="87">
        <f>AJ5/AJ2</f>
        <v/>
      </c>
      <c r="AK13" s="87">
        <f>AK5/AK2</f>
        <v/>
      </c>
      <c r="AL13" s="87">
        <f>AL5/AL2</f>
        <v/>
      </c>
      <c r="AM13" s="87">
        <f>AM5/AM2</f>
        <v/>
      </c>
      <c r="AN13" s="87">
        <f>AN5/AN2</f>
        <v/>
      </c>
      <c r="AO13" s="87">
        <f>AO5/AO2</f>
        <v/>
      </c>
      <c r="AP13" s="87">
        <f>AP5/AP2</f>
        <v/>
      </c>
      <c r="AQ13" s="87">
        <f>AQ5/AQ2</f>
        <v/>
      </c>
      <c r="AR13" s="87">
        <f>AR5/AR2</f>
        <v/>
      </c>
      <c r="AS13" s="87">
        <f>AS5/AS2</f>
        <v/>
      </c>
      <c r="AT13" s="87" t="n"/>
      <c r="AU13" s="87" t="n"/>
      <c r="AV13" s="87" t="n"/>
      <c r="AW13" s="87" t="n"/>
      <c r="AX13" s="87" t="n"/>
      <c r="AY13" s="87" t="n"/>
      <c r="AZ13" s="87" t="n"/>
      <c r="BA13" s="87" t="n"/>
      <c r="BB13" s="87" t="n"/>
      <c r="BC13" s="87" t="n"/>
      <c r="BD13" s="87" t="n"/>
      <c r="BE13" s="87" t="n"/>
      <c r="BF13" s="87" t="n"/>
      <c r="BG13" s="87" t="n"/>
      <c r="BH13" s="87" t="n"/>
      <c r="BI13" s="87" t="n"/>
      <c r="BJ13" s="87" t="n"/>
      <c r="BK13" s="87" t="n"/>
      <c r="BL13" s="87" t="n"/>
      <c r="BM13" s="87" t="n"/>
      <c r="BN13" s="87" t="n"/>
      <c r="BO13" s="87" t="n"/>
      <c r="BP13" s="87" t="n"/>
      <c r="BQ13" s="87" t="n"/>
      <c r="BR13" s="228">
        <f>sum(B13:U13)</f>
        <v/>
      </c>
    </row>
    <row r="14">
      <c r="A14" s="117" t="inlineStr">
        <is>
          <t>Ken (oz)</t>
        </is>
      </c>
      <c r="B14" s="87">
        <f>B6/B2</f>
        <v/>
      </c>
      <c r="C14" s="87">
        <f>C6/C2</f>
        <v/>
      </c>
      <c r="D14" s="87">
        <f>D6/D2</f>
        <v/>
      </c>
      <c r="E14" s="87">
        <f>E6/E2</f>
        <v/>
      </c>
      <c r="F14" s="87">
        <f>F6/F2</f>
        <v/>
      </c>
      <c r="G14" s="87">
        <f>G6/G2</f>
        <v/>
      </c>
      <c r="H14" s="87">
        <f>H6/H2</f>
        <v/>
      </c>
      <c r="I14" s="87">
        <f>I6/I2</f>
        <v/>
      </c>
      <c r="J14" s="87">
        <f>J6/J2</f>
        <v/>
      </c>
      <c r="K14" s="87">
        <f>K6/K2</f>
        <v/>
      </c>
      <c r="L14" s="87">
        <f>L6/L2</f>
        <v/>
      </c>
      <c r="M14" s="87">
        <f>M6/M2</f>
        <v/>
      </c>
      <c r="N14" s="87">
        <f>N6/N2</f>
        <v/>
      </c>
      <c r="O14" s="87">
        <f>O6/O2</f>
        <v/>
      </c>
      <c r="P14" s="87">
        <f>P6/P2</f>
        <v/>
      </c>
      <c r="Q14" s="87">
        <f>Q6/Q2</f>
        <v/>
      </c>
      <c r="R14" s="87">
        <f>R6/R2</f>
        <v/>
      </c>
      <c r="S14" s="87">
        <f>S6/S2</f>
        <v/>
      </c>
      <c r="T14" s="87">
        <f>T6/T2</f>
        <v/>
      </c>
      <c r="U14" s="87">
        <f>U6/U2</f>
        <v/>
      </c>
      <c r="V14" s="87">
        <f>V6/V2</f>
        <v/>
      </c>
      <c r="W14" s="87">
        <f>W6/W2</f>
        <v/>
      </c>
      <c r="X14" s="87">
        <f>X6/X2</f>
        <v/>
      </c>
      <c r="Y14" s="87">
        <f>Y6/Y2</f>
        <v/>
      </c>
      <c r="Z14" s="87">
        <f>Z6/Z2</f>
        <v/>
      </c>
      <c r="AA14" s="87">
        <f>AA6/AA2</f>
        <v/>
      </c>
      <c r="AB14" s="87">
        <f>AB6/AB2</f>
        <v/>
      </c>
      <c r="AC14" s="87">
        <f>AC6/AC2</f>
        <v/>
      </c>
      <c r="AD14" s="87">
        <f>AD6/AD2</f>
        <v/>
      </c>
      <c r="AE14" s="87">
        <f>AE6/AE2</f>
        <v/>
      </c>
      <c r="AF14" s="87">
        <f>AF6/AF2</f>
        <v/>
      </c>
      <c r="AG14" s="87">
        <f>AG6/AG2</f>
        <v/>
      </c>
      <c r="AH14" s="87">
        <f>AH6/AH2</f>
        <v/>
      </c>
      <c r="AI14" s="87">
        <f>AI6/AI2</f>
        <v/>
      </c>
      <c r="AJ14" s="87">
        <f>AJ6/AJ2</f>
        <v/>
      </c>
      <c r="AK14" s="87">
        <f>AK6/AK2</f>
        <v/>
      </c>
      <c r="AL14" s="87">
        <f>AL6/AL2</f>
        <v/>
      </c>
      <c r="AM14" s="87">
        <f>AM6/AM2</f>
        <v/>
      </c>
      <c r="AN14" s="87">
        <f>AN6/AN2</f>
        <v/>
      </c>
      <c r="AO14" s="87">
        <f>AO6/AO2</f>
        <v/>
      </c>
      <c r="AP14" s="87">
        <f>AP6/AP2</f>
        <v/>
      </c>
      <c r="AQ14" s="87">
        <f>AQ6/AQ2</f>
        <v/>
      </c>
      <c r="AR14" s="87">
        <f>AR6/AR2</f>
        <v/>
      </c>
      <c r="AS14" s="87">
        <f>AS6/AS2</f>
        <v/>
      </c>
      <c r="AT14" s="87" t="n"/>
      <c r="AU14" s="87" t="n"/>
      <c r="AV14" s="87" t="n"/>
      <c r="AW14" s="87" t="n"/>
      <c r="AX14" s="87" t="n"/>
      <c r="AY14" s="87" t="n"/>
      <c r="AZ14" s="87" t="n"/>
      <c r="BA14" s="87" t="n"/>
      <c r="BB14" s="87" t="n"/>
      <c r="BC14" s="87" t="n"/>
      <c r="BD14" s="87" t="n"/>
      <c r="BE14" s="87" t="n"/>
      <c r="BF14" s="87" t="n"/>
      <c r="BG14" s="87" t="n"/>
      <c r="BH14" s="87" t="n"/>
      <c r="BI14" s="87" t="n"/>
      <c r="BJ14" s="87" t="n"/>
      <c r="BK14" s="87" t="n"/>
      <c r="BL14" s="87" t="n"/>
      <c r="BM14" s="87" t="n"/>
      <c r="BN14" s="87" t="n"/>
      <c r="BO14" s="87" t="n"/>
      <c r="BP14" s="87" t="n"/>
      <c r="BQ14" s="87" t="n"/>
      <c r="BR14" s="228">
        <f>sum(B14:U14)</f>
        <v/>
      </c>
    </row>
    <row r="15">
      <c r="A15" s="117" t="inlineStr">
        <is>
          <t>Ishan (oz)</t>
        </is>
      </c>
      <c r="B15" s="87">
        <f>B7/B2</f>
        <v/>
      </c>
      <c r="C15" s="87">
        <f>C7/C2</f>
        <v/>
      </c>
      <c r="D15" s="87">
        <f>D7/D2</f>
        <v/>
      </c>
      <c r="E15" s="87">
        <f>E7/E2</f>
        <v/>
      </c>
      <c r="F15" s="87">
        <f>F7/F2</f>
        <v/>
      </c>
      <c r="G15" s="87">
        <f>G7/G2</f>
        <v/>
      </c>
      <c r="H15" s="87">
        <f>H7/H2</f>
        <v/>
      </c>
      <c r="I15" s="87">
        <f>I7/I2</f>
        <v/>
      </c>
      <c r="J15" s="87">
        <f>J7/J2</f>
        <v/>
      </c>
      <c r="K15" s="87">
        <f>K7/K2</f>
        <v/>
      </c>
      <c r="L15" s="87">
        <f>L7/L2</f>
        <v/>
      </c>
      <c r="M15" s="87">
        <f>M7/M2</f>
        <v/>
      </c>
      <c r="N15" s="87">
        <f>N7/N2</f>
        <v/>
      </c>
      <c r="O15" s="87">
        <f>O7/O2</f>
        <v/>
      </c>
      <c r="P15" s="87">
        <f>P7/P2</f>
        <v/>
      </c>
      <c r="Q15" s="87">
        <f>Q7/Q2</f>
        <v/>
      </c>
      <c r="R15" s="87">
        <f>R7/R2</f>
        <v/>
      </c>
      <c r="S15" s="87">
        <f>S7/S2</f>
        <v/>
      </c>
      <c r="T15" s="87">
        <f>T7/T2</f>
        <v/>
      </c>
      <c r="U15" s="87">
        <f>U7/U2</f>
        <v/>
      </c>
      <c r="V15" s="87">
        <f>V7/V2</f>
        <v/>
      </c>
      <c r="W15" s="87">
        <f>W7/W2</f>
        <v/>
      </c>
      <c r="X15" s="87">
        <f>X7/X2</f>
        <v/>
      </c>
      <c r="Y15" s="87">
        <f>Y7/Y2</f>
        <v/>
      </c>
      <c r="Z15" s="87">
        <f>Z7/Z2</f>
        <v/>
      </c>
      <c r="AA15" s="87">
        <f>AA7/AA2</f>
        <v/>
      </c>
      <c r="AB15" s="87">
        <f>AB7/AB2</f>
        <v/>
      </c>
      <c r="AC15" s="87">
        <f>AC7/AC2</f>
        <v/>
      </c>
      <c r="AD15" s="87">
        <f>AD7/AD2</f>
        <v/>
      </c>
      <c r="AE15" s="87">
        <f>AE7/AE2</f>
        <v/>
      </c>
      <c r="AF15" s="87">
        <f>AF7/AF2</f>
        <v/>
      </c>
      <c r="AG15" s="87">
        <f>AG7/AG2</f>
        <v/>
      </c>
      <c r="AH15" s="87">
        <f>AH7/AH2</f>
        <v/>
      </c>
      <c r="AI15" s="87">
        <f>AI7/AI2</f>
        <v/>
      </c>
      <c r="AJ15" s="87">
        <f>AJ7/AJ2</f>
        <v/>
      </c>
      <c r="AK15" s="87">
        <f>AK7/AK2</f>
        <v/>
      </c>
      <c r="AL15" s="87">
        <f>AL7/AL2</f>
        <v/>
      </c>
      <c r="AM15" s="87">
        <f>AM7/AM2</f>
        <v/>
      </c>
      <c r="AN15" s="87">
        <f>AN7/AN2</f>
        <v/>
      </c>
      <c r="AO15" s="87">
        <f>AO7/AO2</f>
        <v/>
      </c>
      <c r="AP15" s="87">
        <f>AP7/AP2</f>
        <v/>
      </c>
      <c r="AQ15" s="87">
        <f>AQ7/AQ2</f>
        <v/>
      </c>
      <c r="AR15" s="87">
        <f>AR7/AR2</f>
        <v/>
      </c>
      <c r="AS15" s="87">
        <f>AS7/AS2</f>
        <v/>
      </c>
      <c r="AT15" s="87" t="n"/>
      <c r="AU15" s="87" t="n"/>
      <c r="AV15" s="87" t="n"/>
      <c r="AW15" s="87" t="n"/>
      <c r="AX15" s="87" t="n"/>
      <c r="AY15" s="87" t="n"/>
      <c r="AZ15" s="87" t="n"/>
      <c r="BA15" s="87" t="n"/>
      <c r="BB15" s="87" t="n"/>
      <c r="BC15" s="87" t="n"/>
      <c r="BD15" s="87" t="n"/>
      <c r="BE15" s="87" t="n"/>
      <c r="BF15" s="87" t="n"/>
      <c r="BG15" s="87" t="n"/>
      <c r="BH15" s="87" t="n"/>
      <c r="BI15" s="87" t="n"/>
      <c r="BJ15" s="87" t="n"/>
      <c r="BK15" s="87" t="n"/>
      <c r="BL15" s="87" t="n"/>
      <c r="BM15" s="87" t="n"/>
      <c r="BN15" s="87" t="n"/>
      <c r="BO15" s="87" t="n"/>
      <c r="BP15" s="87" t="n"/>
      <c r="BQ15" s="87" t="n"/>
      <c r="BR15" s="228">
        <f>sum(B15:U15)</f>
        <v/>
      </c>
    </row>
    <row r="16">
      <c r="A16" s="117" t="inlineStr">
        <is>
          <t>Josie (oz)</t>
        </is>
      </c>
      <c r="B16" s="87">
        <f>B8/B2</f>
        <v/>
      </c>
      <c r="C16" s="87">
        <f>C8/C2</f>
        <v/>
      </c>
      <c r="D16" s="87">
        <f>D8/D2</f>
        <v/>
      </c>
      <c r="E16" s="87">
        <f>E8/E2</f>
        <v/>
      </c>
      <c r="F16" s="87">
        <f>F8/F2</f>
        <v/>
      </c>
      <c r="G16" s="87">
        <f>G8/G2</f>
        <v/>
      </c>
      <c r="H16" s="87">
        <f>H8/H2</f>
        <v/>
      </c>
      <c r="I16" s="87">
        <f>I8/I2</f>
        <v/>
      </c>
      <c r="J16" s="87">
        <f>J8/J2</f>
        <v/>
      </c>
      <c r="K16" s="87">
        <f>K8/K2</f>
        <v/>
      </c>
      <c r="L16" s="87">
        <f>L8/L2</f>
        <v/>
      </c>
      <c r="M16" s="87">
        <f>M8/M2</f>
        <v/>
      </c>
      <c r="N16" s="87">
        <f>N8/N2</f>
        <v/>
      </c>
      <c r="O16" s="87">
        <f>O8/O2</f>
        <v/>
      </c>
      <c r="P16" s="87">
        <f>P8/P2</f>
        <v/>
      </c>
      <c r="Q16" s="87">
        <f>Q8/Q2</f>
        <v/>
      </c>
      <c r="R16" s="87">
        <f>R8/R2</f>
        <v/>
      </c>
      <c r="S16" s="87">
        <f>S8/S2</f>
        <v/>
      </c>
      <c r="T16" s="87">
        <f>T8/T2</f>
        <v/>
      </c>
      <c r="U16" s="87">
        <f>U8/U2</f>
        <v/>
      </c>
      <c r="V16" s="87">
        <f>V8/V2</f>
        <v/>
      </c>
      <c r="W16" s="87">
        <f>W8/W2</f>
        <v/>
      </c>
      <c r="X16" s="87">
        <f>X8/X2</f>
        <v/>
      </c>
      <c r="Y16" s="87">
        <f>Y8/Y2</f>
        <v/>
      </c>
      <c r="Z16" s="87">
        <f>Z8/Z2</f>
        <v/>
      </c>
      <c r="AA16" s="87">
        <f>AA8/AA2</f>
        <v/>
      </c>
      <c r="AB16" s="87">
        <f>AB8/AB2</f>
        <v/>
      </c>
      <c r="AC16" s="87">
        <f>AC8/AC2</f>
        <v/>
      </c>
      <c r="AD16" s="87">
        <f>AD8/AD2</f>
        <v/>
      </c>
      <c r="AE16" s="87">
        <f>AE8/AE2</f>
        <v/>
      </c>
      <c r="AF16" s="87">
        <f>AF8/AF2</f>
        <v/>
      </c>
      <c r="AG16" s="87">
        <f>AG8/AG2</f>
        <v/>
      </c>
      <c r="AH16" s="87">
        <f>AH8/AH2</f>
        <v/>
      </c>
      <c r="AI16" s="87">
        <f>AI8/AI2</f>
        <v/>
      </c>
      <c r="AJ16" s="87">
        <f>AJ8/AJ2</f>
        <v/>
      </c>
      <c r="AK16" s="87">
        <f>AK8/AK2</f>
        <v/>
      </c>
      <c r="AL16" s="87">
        <f>AL8/AL2</f>
        <v/>
      </c>
      <c r="AM16" s="87">
        <f>AM8/AM2</f>
        <v/>
      </c>
      <c r="AN16" s="87">
        <f>AN8/AN2</f>
        <v/>
      </c>
      <c r="AO16" s="87">
        <f>AO8/AO2</f>
        <v/>
      </c>
      <c r="AP16" s="87">
        <f>AP8/AP2</f>
        <v/>
      </c>
      <c r="AQ16" s="87">
        <f>AQ8/AQ2</f>
        <v/>
      </c>
      <c r="AR16" s="87">
        <f>AR8/AR2</f>
        <v/>
      </c>
      <c r="AS16" s="87">
        <f>AS8/AS2</f>
        <v/>
      </c>
      <c r="AT16" s="87" t="n"/>
      <c r="AU16" s="87" t="n"/>
      <c r="AV16" s="87" t="n"/>
      <c r="AW16" s="87" t="n"/>
      <c r="AX16" s="87" t="n"/>
      <c r="AY16" s="87" t="n"/>
      <c r="AZ16" s="87" t="n"/>
      <c r="BA16" s="87" t="n"/>
      <c r="BB16" s="87" t="n"/>
      <c r="BC16" s="87" t="n"/>
      <c r="BD16" s="87" t="n"/>
      <c r="BE16" s="87" t="n"/>
      <c r="BF16" s="87" t="n"/>
      <c r="BG16" s="87" t="n"/>
      <c r="BH16" s="87" t="n"/>
      <c r="BI16" s="87" t="n"/>
      <c r="BJ16" s="87" t="n"/>
      <c r="BK16" s="87" t="n"/>
      <c r="BL16" s="87" t="n"/>
      <c r="BM16" s="87" t="n"/>
      <c r="BN16" s="87" t="n"/>
      <c r="BO16" s="87" t="n"/>
      <c r="BP16" s="87" t="n"/>
      <c r="BQ16" s="87" t="n"/>
      <c r="BR16" s="228">
        <f>sum(B16:U16)</f>
        <v/>
      </c>
    </row>
    <row r="17">
      <c r="A17" s="117" t="inlineStr">
        <is>
          <t>Nicole (oz)</t>
        </is>
      </c>
      <c r="B17" s="87">
        <f>B9/B2</f>
        <v/>
      </c>
      <c r="C17" s="87">
        <f>C9/C2</f>
        <v/>
      </c>
      <c r="D17" s="87">
        <f>D9/D2</f>
        <v/>
      </c>
      <c r="E17" s="87">
        <f>E9/E2</f>
        <v/>
      </c>
      <c r="F17" s="87">
        <f>F9/F2</f>
        <v/>
      </c>
      <c r="G17" s="87">
        <f>G9/G2</f>
        <v/>
      </c>
      <c r="H17" s="87">
        <f>H9/H2</f>
        <v/>
      </c>
      <c r="I17" s="87">
        <f>I9/I2</f>
        <v/>
      </c>
      <c r="J17" s="87">
        <f>J9/J2</f>
        <v/>
      </c>
      <c r="K17" s="87">
        <f>K9/K2</f>
        <v/>
      </c>
      <c r="L17" s="87">
        <f>L9/L2</f>
        <v/>
      </c>
      <c r="M17" s="87">
        <f>M9/M2</f>
        <v/>
      </c>
      <c r="N17" s="87">
        <f>N9/N2</f>
        <v/>
      </c>
      <c r="O17" s="87">
        <f>O9/O2</f>
        <v/>
      </c>
      <c r="P17" s="87">
        <f>P9/P2</f>
        <v/>
      </c>
      <c r="Q17" s="87">
        <f>Q9/Q2</f>
        <v/>
      </c>
      <c r="R17" s="87">
        <f>R9/R2</f>
        <v/>
      </c>
      <c r="S17" s="87">
        <f>S9/S2</f>
        <v/>
      </c>
      <c r="T17" s="87">
        <f>T9/T2</f>
        <v/>
      </c>
      <c r="U17" s="87">
        <f>U9/U2</f>
        <v/>
      </c>
      <c r="V17" s="87">
        <f>V9/V2</f>
        <v/>
      </c>
      <c r="W17" s="87">
        <f>W9/W2</f>
        <v/>
      </c>
      <c r="X17" s="87">
        <f>X9/X2</f>
        <v/>
      </c>
      <c r="Y17" s="87">
        <f>Y9/Y2</f>
        <v/>
      </c>
      <c r="Z17" s="87">
        <f>Z9/Z2</f>
        <v/>
      </c>
      <c r="AA17" s="87">
        <f>AA9/AA2</f>
        <v/>
      </c>
      <c r="AB17" s="87">
        <f>AB9/AB2</f>
        <v/>
      </c>
      <c r="AC17" s="87">
        <f>AC9/AC2</f>
        <v/>
      </c>
      <c r="AD17" s="87">
        <f>AD9/AD2</f>
        <v/>
      </c>
      <c r="AE17" s="87">
        <f>AE9/AE2</f>
        <v/>
      </c>
      <c r="AF17" s="87">
        <f>AF9/AF2</f>
        <v/>
      </c>
      <c r="AG17" s="87">
        <f>AG9/AG2</f>
        <v/>
      </c>
      <c r="AH17" s="87">
        <f>AH9/AH2</f>
        <v/>
      </c>
      <c r="AI17" s="87">
        <f>AI9/AI2</f>
        <v/>
      </c>
      <c r="AJ17" s="87">
        <f>AJ9/AJ2</f>
        <v/>
      </c>
      <c r="AK17" s="87">
        <f>AK9/AK2</f>
        <v/>
      </c>
      <c r="AL17" s="87">
        <f>AL9/AL2</f>
        <v/>
      </c>
      <c r="AM17" s="87">
        <f>AM9/AM2</f>
        <v/>
      </c>
      <c r="AN17" s="87">
        <f>AN9/AN2</f>
        <v/>
      </c>
      <c r="AO17" s="87">
        <f>AO9/AO2</f>
        <v/>
      </c>
      <c r="AP17" s="87">
        <f>AP9/AP2</f>
        <v/>
      </c>
      <c r="AQ17" s="87">
        <f>AQ9/AQ2</f>
        <v/>
      </c>
      <c r="AR17" s="87">
        <f>AR9/AR2</f>
        <v/>
      </c>
      <c r="AS17" s="87">
        <f>AS9/AS2</f>
        <v/>
      </c>
      <c r="AT17" s="87" t="n"/>
      <c r="AU17" s="87" t="n"/>
      <c r="AV17" s="87" t="n"/>
      <c r="AW17" s="87" t="n"/>
      <c r="AX17" s="87" t="n"/>
      <c r="AY17" s="87" t="n"/>
      <c r="AZ17" s="87" t="n"/>
      <c r="BA17" s="87" t="n"/>
      <c r="BB17" s="87" t="n"/>
      <c r="BC17" s="87" t="n"/>
      <c r="BD17" s="87" t="n"/>
      <c r="BE17" s="87" t="n"/>
      <c r="BF17" s="87" t="n"/>
      <c r="BG17" s="87" t="n"/>
      <c r="BH17" s="87" t="n"/>
      <c r="BI17" s="87" t="n"/>
      <c r="BJ17" s="87" t="n"/>
      <c r="BK17" s="87" t="n"/>
      <c r="BL17" s="87" t="n"/>
      <c r="BM17" s="87" t="n"/>
      <c r="BN17" s="87" t="n"/>
      <c r="BO17" s="87" t="n"/>
      <c r="BP17" s="87" t="n"/>
      <c r="BQ17" s="87" t="n"/>
      <c r="BR17" s="228">
        <f>sum(B17:U17)</f>
        <v/>
      </c>
    </row>
    <row r="18">
      <c r="A18" s="117" t="inlineStr">
        <is>
          <t>Garrett (oz)</t>
        </is>
      </c>
      <c r="B18" s="87">
        <f>B10/B4</f>
        <v/>
      </c>
      <c r="C18" s="87">
        <f>C10/C4</f>
        <v/>
      </c>
      <c r="D18" s="87">
        <f>D10/D4</f>
        <v/>
      </c>
      <c r="E18" s="87">
        <f>E10/E4</f>
        <v/>
      </c>
      <c r="F18" s="87">
        <f>F10/F4</f>
        <v/>
      </c>
      <c r="G18" s="87">
        <f>G10/G4</f>
        <v/>
      </c>
      <c r="H18" s="87">
        <f>H10/H4</f>
        <v/>
      </c>
      <c r="I18" s="87">
        <f>I10/I4</f>
        <v/>
      </c>
      <c r="J18" s="87">
        <f>J10/J4</f>
        <v/>
      </c>
      <c r="K18" s="87">
        <f>K10/K4</f>
        <v/>
      </c>
      <c r="L18" s="87">
        <f>L10/L4</f>
        <v/>
      </c>
      <c r="M18" s="87">
        <f>M10/M4</f>
        <v/>
      </c>
      <c r="N18" s="87">
        <f>N10/N4</f>
        <v/>
      </c>
      <c r="O18" s="87">
        <f>O10/O4</f>
        <v/>
      </c>
      <c r="P18" s="87">
        <f>P10/P4</f>
        <v/>
      </c>
      <c r="Q18" s="87">
        <f>Q10/Q4</f>
        <v/>
      </c>
      <c r="R18" s="87">
        <f>R10/R4</f>
        <v/>
      </c>
      <c r="S18" s="87">
        <f>S10/S4</f>
        <v/>
      </c>
      <c r="T18" s="87">
        <f>T10/T4</f>
        <v/>
      </c>
      <c r="U18" s="87">
        <f>U10/U4</f>
        <v/>
      </c>
      <c r="V18" s="87">
        <f>V10/V4</f>
        <v/>
      </c>
      <c r="W18" s="87">
        <f>W10/W4</f>
        <v/>
      </c>
      <c r="X18" s="87">
        <f>X10/X4</f>
        <v/>
      </c>
      <c r="Y18" s="87">
        <f>Y10/Y4</f>
        <v/>
      </c>
      <c r="Z18" s="87">
        <f>Z10/Z4</f>
        <v/>
      </c>
      <c r="AA18" s="87">
        <f>AA10/AA4</f>
        <v/>
      </c>
      <c r="AB18" s="87">
        <f>AB10/AB4</f>
        <v/>
      </c>
      <c r="AC18" s="87">
        <f>AC10/AC4</f>
        <v/>
      </c>
      <c r="AD18" s="87">
        <f>AD10/AD4</f>
        <v/>
      </c>
      <c r="AE18" s="87">
        <f>AE10/AE4</f>
        <v/>
      </c>
      <c r="AF18" s="87">
        <f>AF10/AF4</f>
        <v/>
      </c>
      <c r="AG18" s="87">
        <f>AG10/AG4</f>
        <v/>
      </c>
      <c r="AH18" s="87">
        <f>AH10/AH4</f>
        <v/>
      </c>
      <c r="AI18" s="87">
        <f>AI10/AI4</f>
        <v/>
      </c>
      <c r="AJ18" s="87">
        <f>AJ10/AJ4</f>
        <v/>
      </c>
      <c r="AK18" s="87">
        <f>AK10/AK4</f>
        <v/>
      </c>
      <c r="AL18" s="87">
        <f>AL10/AL4</f>
        <v/>
      </c>
      <c r="AM18" s="87">
        <f>AM10/AM4</f>
        <v/>
      </c>
      <c r="AN18" s="87">
        <f>AN10/AN2</f>
        <v/>
      </c>
      <c r="AO18" s="87">
        <f>AO10/AO2</f>
        <v/>
      </c>
      <c r="AP18" s="87">
        <f>AP10/AP2</f>
        <v/>
      </c>
      <c r="AQ18" s="87">
        <f>AQ10/AQ2</f>
        <v/>
      </c>
      <c r="AR18" s="87">
        <f>AR10/AR2</f>
        <v/>
      </c>
      <c r="AS18" s="87">
        <f>AS10/AS2</f>
        <v/>
      </c>
      <c r="AT18" s="87" t="n"/>
      <c r="AU18" s="87" t="n"/>
      <c r="AV18" s="87" t="n"/>
      <c r="AW18" s="87" t="n"/>
      <c r="AX18" s="87" t="n"/>
      <c r="AY18" s="87" t="n"/>
      <c r="AZ18" s="87" t="n"/>
      <c r="BA18" s="87" t="n"/>
      <c r="BB18" s="87" t="n"/>
      <c r="BC18" s="87" t="n"/>
      <c r="BD18" s="87" t="n"/>
      <c r="BE18" s="87" t="n"/>
      <c r="BF18" s="87" t="n"/>
      <c r="BG18" s="87" t="n"/>
      <c r="BH18" s="87" t="n"/>
      <c r="BI18" s="87" t="n"/>
      <c r="BJ18" s="87" t="n"/>
      <c r="BK18" s="87" t="n"/>
      <c r="BL18" s="87" t="n"/>
      <c r="BM18" s="87" t="n"/>
      <c r="BN18" s="87" t="n"/>
      <c r="BO18" s="87" t="n"/>
      <c r="BP18" s="87" t="n"/>
      <c r="BQ18" s="87" t="n"/>
      <c r="BR18" s="228">
        <f>sum(B18:U18)</f>
        <v/>
      </c>
    </row>
    <row r="19">
      <c r="A19" s="128" t="n"/>
      <c r="B19" s="128" t="n"/>
      <c r="C19" s="128" t="n"/>
      <c r="D19" s="128" t="n"/>
      <c r="E19" s="128" t="n"/>
      <c r="F19" s="128" t="n"/>
      <c r="G19" s="128" t="n"/>
      <c r="H19" s="128" t="n"/>
      <c r="I19" s="128" t="n"/>
      <c r="J19" s="128" t="n"/>
      <c r="K19" s="128" t="n"/>
      <c r="L19" s="128" t="n"/>
      <c r="M19" s="128" t="n"/>
      <c r="N19" s="128" t="n"/>
      <c r="O19" s="128" t="n"/>
      <c r="P19" s="128" t="n"/>
      <c r="Q19" s="128" t="n"/>
      <c r="R19" s="128" t="n"/>
      <c r="S19" s="128" t="n"/>
      <c r="T19" s="128" t="n"/>
      <c r="U19" s="128" t="n"/>
      <c r="V19" s="128" t="n"/>
      <c r="W19" s="128" t="n"/>
      <c r="X19" s="128" t="n"/>
      <c r="Y19" s="128" t="n"/>
      <c r="Z19" s="128" t="n"/>
      <c r="AA19" s="128" t="n"/>
      <c r="AB19" s="128" t="n"/>
      <c r="AC19" s="128" t="n"/>
      <c r="AD19" s="128" t="n"/>
      <c r="AE19" s="128" t="n"/>
      <c r="AF19" s="128" t="n"/>
      <c r="AG19" s="128" t="n"/>
      <c r="AH19" s="128" t="n"/>
      <c r="AI19" s="128" t="n"/>
      <c r="AJ19" s="128" t="n"/>
      <c r="AK19" s="128" t="n"/>
      <c r="AL19" s="128" t="n"/>
      <c r="AM19" s="128" t="n"/>
      <c r="AN19" s="128" t="n"/>
      <c r="AO19" s="128" t="n"/>
      <c r="AP19" s="128" t="n"/>
      <c r="AQ19" s="128" t="n"/>
      <c r="AR19" s="128" t="n"/>
      <c r="AS19" s="128" t="n"/>
      <c r="AT19" s="128" t="n"/>
      <c r="AU19" s="128" t="n"/>
      <c r="AV19" s="128" t="n"/>
      <c r="AW19" s="128" t="n"/>
      <c r="AX19" s="128" t="n"/>
      <c r="AY19" s="128" t="n"/>
      <c r="AZ19" s="128" t="n"/>
      <c r="BA19" s="128" t="n"/>
      <c r="BB19" s="128" t="n"/>
      <c r="BC19" s="128" t="n"/>
      <c r="BD19" s="128" t="n"/>
      <c r="BE19" s="128" t="n"/>
      <c r="BF19" s="128" t="n"/>
      <c r="BG19" s="128" t="n"/>
      <c r="BH19" s="128" t="n"/>
      <c r="BI19" s="128" t="n"/>
      <c r="BJ19" s="128" t="n"/>
      <c r="BK19" s="128" t="n"/>
      <c r="BL19" s="128" t="n"/>
      <c r="BM19" s="128" t="n"/>
      <c r="BN19" s="128" t="n"/>
      <c r="BO19" s="128" t="n"/>
      <c r="BP19" s="128" t="n"/>
      <c r="BQ19" s="128" t="n"/>
      <c r="BR19" s="128" t="n"/>
    </row>
    <row r="20">
      <c r="A20" s="191" t="inlineStr">
        <is>
          <t>Employee Deffered Comp ($)</t>
        </is>
      </c>
    </row>
    <row r="21">
      <c r="A21" s="38" t="inlineStr">
        <is>
          <t>RAF Director: Finance</t>
        </is>
      </c>
      <c r="B21" s="117" t="n">
        <v>0</v>
      </c>
      <c r="C21" s="117" t="n">
        <v>0</v>
      </c>
      <c r="D21" s="117" t="n">
        <v>0</v>
      </c>
      <c r="E21" s="117" t="n">
        <v>0</v>
      </c>
      <c r="F21" s="117" t="n">
        <v>0</v>
      </c>
      <c r="G21" s="117" t="n">
        <v>0</v>
      </c>
      <c r="H21" s="117" t="n">
        <v>0</v>
      </c>
      <c r="I21" s="117" t="n">
        <v>0</v>
      </c>
      <c r="J21" s="117" t="n">
        <v>0</v>
      </c>
      <c r="K21" s="117" t="n">
        <v>0</v>
      </c>
      <c r="L21" s="117" t="n">
        <v>0</v>
      </c>
      <c r="M21" s="117" t="n">
        <v>0</v>
      </c>
      <c r="N21" s="117" t="n">
        <v>0</v>
      </c>
      <c r="O21" s="117" t="n">
        <v>0</v>
      </c>
      <c r="P21" s="117" t="n">
        <v>0</v>
      </c>
      <c r="Q21" s="117" t="n">
        <v>0</v>
      </c>
      <c r="R21" s="117" t="n">
        <v>0</v>
      </c>
      <c r="S21" s="133">
        <f>Personnel!$G$7</f>
        <v/>
      </c>
      <c r="T21" s="133">
        <f>Personnel!$G$7</f>
        <v/>
      </c>
      <c r="U21" s="133">
        <f>Personnel!$G$7</f>
        <v/>
      </c>
      <c r="V21" s="133">
        <f>Personnel!$G$7</f>
        <v/>
      </c>
      <c r="W21" s="133">
        <f>Personnel!$G$7</f>
        <v/>
      </c>
      <c r="X21" s="133">
        <f>Personnel!$G$7</f>
        <v/>
      </c>
      <c r="Y21" s="133">
        <f>Personnel!$G$7</f>
        <v/>
      </c>
      <c r="Z21" s="133">
        <f>Personnel!$G$7</f>
        <v/>
      </c>
      <c r="AA21" s="133">
        <f>Personnel!$G$7</f>
        <v/>
      </c>
      <c r="AB21" s="133">
        <f>Personnel!$G$7</f>
        <v/>
      </c>
      <c r="AC21" s="133">
        <f>Personnel!$G$7</f>
        <v/>
      </c>
      <c r="AD21" s="133">
        <f>Personnel!$G$7</f>
        <v/>
      </c>
      <c r="AE21" s="133">
        <f>Personnel!$G$7</f>
        <v/>
      </c>
      <c r="AF21" s="133">
        <f>Personnel!$G$7</f>
        <v/>
      </c>
      <c r="AG21" s="133">
        <f>Personnel!$G$7</f>
        <v/>
      </c>
      <c r="AH21" s="133">
        <f>Personnel!$G$7</f>
        <v/>
      </c>
      <c r="AI21" s="133">
        <f>Personnel!$G$7</f>
        <v/>
      </c>
      <c r="AJ21" s="133">
        <f>Personnel!$G$7</f>
        <v/>
      </c>
      <c r="AK21" s="133">
        <f>Personnel!$G$7</f>
        <v/>
      </c>
      <c r="AL21" s="133">
        <f>Personnel!$G$7</f>
        <v/>
      </c>
      <c r="AM21" s="133">
        <f>Personnel!$G$7</f>
        <v/>
      </c>
      <c r="AN21" s="133">
        <f>Personnel!$G$7</f>
        <v/>
      </c>
      <c r="AO21" s="133">
        <f>Personnel!$G$7</f>
        <v/>
      </c>
      <c r="AP21" s="133">
        <f>Personnel!$G$7</f>
        <v/>
      </c>
      <c r="AQ21" s="133">
        <f>Personnel!$G$7</f>
        <v/>
      </c>
      <c r="AR21" s="133">
        <f>Personnel!$G$7</f>
        <v/>
      </c>
      <c r="AS21" s="133">
        <f>Personnel!$G$7</f>
        <v/>
      </c>
      <c r="AT21" s="133">
        <f>Personnel!$G$17</f>
        <v/>
      </c>
      <c r="AU21" s="133">
        <f>Personnel!$G$17</f>
        <v/>
      </c>
      <c r="AV21" s="133">
        <f>Personnel!$G$17</f>
        <v/>
      </c>
      <c r="AW21" s="133">
        <f>Personnel!$G$17</f>
        <v/>
      </c>
      <c r="AX21" s="133">
        <f>Personnel!$G$17</f>
        <v/>
      </c>
      <c r="AY21" s="133">
        <f>Personnel!$G$17</f>
        <v/>
      </c>
      <c r="AZ21" s="133">
        <f>Personnel!$G$17</f>
        <v/>
      </c>
      <c r="BA21" s="133">
        <f>Personnel!$G$17</f>
        <v/>
      </c>
      <c r="BB21" s="133">
        <f>Personnel!$G$17</f>
        <v/>
      </c>
      <c r="BC21" s="133">
        <f>Personnel!$G$17</f>
        <v/>
      </c>
      <c r="BD21" s="133">
        <f>Personnel!$G$17</f>
        <v/>
      </c>
      <c r="BE21" s="133">
        <f>Personnel!$G$17</f>
        <v/>
      </c>
      <c r="BF21" s="133">
        <f>Personnel!$G$17</f>
        <v/>
      </c>
      <c r="BG21" s="133">
        <f>Personnel!$G$17</f>
        <v/>
      </c>
      <c r="BH21" s="133">
        <f>Personnel!$G$17</f>
        <v/>
      </c>
      <c r="BI21" s="133">
        <f>Personnel!$G$17</f>
        <v/>
      </c>
      <c r="BJ21" s="133">
        <f>Personnel!$G$17</f>
        <v/>
      </c>
      <c r="BK21" s="133">
        <f>Personnel!$G$17</f>
        <v/>
      </c>
      <c r="BL21" s="133">
        <f>Personnel!$G$17</f>
        <v/>
      </c>
      <c r="BM21" s="133">
        <f>Personnel!$G$17</f>
        <v/>
      </c>
      <c r="BN21" s="133">
        <f>Personnel!$G$17</f>
        <v/>
      </c>
      <c r="BO21" s="133">
        <f>Personnel!$G$17</f>
        <v/>
      </c>
      <c r="BP21" s="133">
        <f>Personnel!$G$17</f>
        <v/>
      </c>
      <c r="BQ21" s="133">
        <f>Personnel!$G$17</f>
        <v/>
      </c>
    </row>
    <row r="22">
      <c r="A22" s="38" t="inlineStr">
        <is>
          <t>RAF Director: Qualified Person</t>
        </is>
      </c>
      <c r="B22" s="117" t="n">
        <v>0</v>
      </c>
      <c r="C22" s="117" t="n">
        <v>0</v>
      </c>
      <c r="D22" s="117" t="n">
        <v>0</v>
      </c>
      <c r="E22" s="117" t="n">
        <v>0</v>
      </c>
      <c r="F22" s="117" t="n">
        <v>0</v>
      </c>
      <c r="G22" s="117" t="n">
        <v>0</v>
      </c>
      <c r="H22" s="117" t="n">
        <v>0</v>
      </c>
      <c r="I22" s="117" t="n">
        <v>0</v>
      </c>
      <c r="J22" s="117" t="n">
        <v>0</v>
      </c>
      <c r="K22" s="117" t="n">
        <v>0</v>
      </c>
      <c r="L22" s="117" t="n">
        <v>0</v>
      </c>
      <c r="M22" s="117" t="n">
        <v>0</v>
      </c>
      <c r="N22" s="117" t="n">
        <v>0</v>
      </c>
      <c r="O22" s="117" t="n">
        <v>0</v>
      </c>
      <c r="P22" s="117" t="n">
        <v>0</v>
      </c>
      <c r="Q22" s="117" t="n">
        <v>0</v>
      </c>
      <c r="R22" s="117" t="n">
        <v>0</v>
      </c>
      <c r="S22" s="133">
        <f>Personnel!$G$8</f>
        <v/>
      </c>
      <c r="T22" s="133">
        <f>Personnel!$G$8</f>
        <v/>
      </c>
      <c r="U22" s="133">
        <f>Personnel!$G$8</f>
        <v/>
      </c>
      <c r="V22" s="133">
        <f>Personnel!$G$8</f>
        <v/>
      </c>
      <c r="W22" s="133">
        <f>Personnel!$G$8</f>
        <v/>
      </c>
      <c r="X22" s="133">
        <f>Personnel!$G$8</f>
        <v/>
      </c>
      <c r="Y22" s="133">
        <f>Personnel!$G$8</f>
        <v/>
      </c>
      <c r="Z22" s="133">
        <f>Personnel!$G$8</f>
        <v/>
      </c>
      <c r="AA22" s="133">
        <f>Personnel!$G$8</f>
        <v/>
      </c>
      <c r="AB22" s="133">
        <f>Personnel!$G$8</f>
        <v/>
      </c>
      <c r="AC22" s="133">
        <f>Personnel!$G$8</f>
        <v/>
      </c>
      <c r="AD22" s="133">
        <f>Personnel!$G$8</f>
        <v/>
      </c>
      <c r="AE22" s="133">
        <f>Personnel!$G$8</f>
        <v/>
      </c>
      <c r="AF22" s="133">
        <f>Personnel!$G$8</f>
        <v/>
      </c>
      <c r="AG22" s="133">
        <f>Personnel!$G$8</f>
        <v/>
      </c>
      <c r="AH22" s="133">
        <f>Personnel!$G$8</f>
        <v/>
      </c>
      <c r="AI22" s="133">
        <f>Personnel!$G$8</f>
        <v/>
      </c>
      <c r="AJ22" s="133">
        <f>Personnel!$G$8</f>
        <v/>
      </c>
      <c r="AK22" s="133">
        <f>Personnel!$G$8</f>
        <v/>
      </c>
      <c r="AL22" s="133">
        <f>Personnel!$G$8</f>
        <v/>
      </c>
      <c r="AM22" s="133">
        <f>Personnel!$G$8</f>
        <v/>
      </c>
      <c r="AN22" s="133">
        <f>Personnel!$G$8</f>
        <v/>
      </c>
      <c r="AO22" s="133">
        <f>Personnel!$G$8</f>
        <v/>
      </c>
      <c r="AP22" s="133">
        <f>Personnel!$G$8</f>
        <v/>
      </c>
      <c r="AQ22" s="133">
        <f>Personnel!$G$8</f>
        <v/>
      </c>
      <c r="AR22" s="133">
        <f>Personnel!$G$8</f>
        <v/>
      </c>
      <c r="AS22" s="133">
        <f>Personnel!$G$8</f>
        <v/>
      </c>
      <c r="AT22" s="133">
        <f>Personnel!$G$17</f>
        <v/>
      </c>
      <c r="AU22" s="133">
        <f>Personnel!$G$17</f>
        <v/>
      </c>
      <c r="AV22" s="133">
        <f>Personnel!$G$17</f>
        <v/>
      </c>
      <c r="AW22" s="133">
        <f>Personnel!$G$17</f>
        <v/>
      </c>
      <c r="AX22" s="133">
        <f>Personnel!$G$17</f>
        <v/>
      </c>
      <c r="AY22" s="133">
        <f>Personnel!$G$17</f>
        <v/>
      </c>
      <c r="AZ22" s="133">
        <f>Personnel!$G$17</f>
        <v/>
      </c>
      <c r="BA22" s="133">
        <f>Personnel!$G$17</f>
        <v/>
      </c>
      <c r="BB22" s="133">
        <f>Personnel!$G$17</f>
        <v/>
      </c>
      <c r="BC22" s="133">
        <f>Personnel!$G$17</f>
        <v/>
      </c>
      <c r="BD22" s="133">
        <f>Personnel!$G$17</f>
        <v/>
      </c>
      <c r="BE22" s="133">
        <f>Personnel!$G$17</f>
        <v/>
      </c>
      <c r="BF22" s="133">
        <f>Personnel!$G$17</f>
        <v/>
      </c>
      <c r="BG22" s="133">
        <f>Personnel!$G$17</f>
        <v/>
      </c>
      <c r="BH22" s="133">
        <f>Personnel!$G$17</f>
        <v/>
      </c>
      <c r="BI22" s="133">
        <f>Personnel!$G$17</f>
        <v/>
      </c>
      <c r="BJ22" s="133">
        <f>Personnel!$G$17</f>
        <v/>
      </c>
      <c r="BK22" s="133">
        <f>Personnel!$G$17</f>
        <v/>
      </c>
      <c r="BL22" s="133">
        <f>Personnel!$G$17</f>
        <v/>
      </c>
      <c r="BM22" s="133">
        <f>Personnel!$G$17</f>
        <v/>
      </c>
      <c r="BN22" s="133">
        <f>Personnel!$G$17</f>
        <v/>
      </c>
      <c r="BO22" s="133">
        <f>Personnel!$G$17</f>
        <v/>
      </c>
      <c r="BP22" s="133">
        <f>Personnel!$G$17</f>
        <v/>
      </c>
      <c r="BQ22" s="133">
        <f>Personnel!$G$17</f>
        <v/>
      </c>
    </row>
    <row r="23">
      <c r="A23" s="38" t="inlineStr">
        <is>
          <t>RAF Board Members</t>
        </is>
      </c>
      <c r="B23" s="117" t="n">
        <v>0</v>
      </c>
      <c r="C23" s="117" t="n">
        <v>0</v>
      </c>
      <c r="D23" s="117" t="n">
        <v>0</v>
      </c>
      <c r="E23" s="117" t="n">
        <v>0</v>
      </c>
      <c r="F23" s="117" t="n">
        <v>0</v>
      </c>
      <c r="G23" s="117" t="n">
        <v>0</v>
      </c>
      <c r="H23" s="117" t="n">
        <v>0</v>
      </c>
      <c r="I23" s="117" t="n">
        <v>0</v>
      </c>
      <c r="J23" s="117" t="n">
        <v>0</v>
      </c>
      <c r="K23" s="117" t="n">
        <v>0</v>
      </c>
      <c r="L23" s="117" t="n">
        <v>0</v>
      </c>
      <c r="M23" s="117" t="n">
        <v>0</v>
      </c>
      <c r="N23" s="117" t="n">
        <v>0</v>
      </c>
      <c r="O23" s="117" t="n">
        <v>0</v>
      </c>
      <c r="P23" s="117" t="n">
        <v>0</v>
      </c>
      <c r="Q23" s="117" t="n">
        <v>0</v>
      </c>
      <c r="R23" s="117" t="n">
        <v>0</v>
      </c>
      <c r="S23" s="133">
        <f>Personnel!$G$12</f>
        <v/>
      </c>
      <c r="T23" s="133">
        <f>Personnel!$G$12</f>
        <v/>
      </c>
      <c r="U23" s="133">
        <f>Personnel!$G$12</f>
        <v/>
      </c>
      <c r="V23" s="133">
        <f>Personnel!$G$12</f>
        <v/>
      </c>
      <c r="W23" s="133">
        <f>Personnel!$G$12</f>
        <v/>
      </c>
      <c r="X23" s="133">
        <f>Personnel!$G$12</f>
        <v/>
      </c>
      <c r="Y23" s="133">
        <f>Personnel!$G$12</f>
        <v/>
      </c>
      <c r="Z23" s="133">
        <f>Personnel!$G$12</f>
        <v/>
      </c>
      <c r="AA23" s="133">
        <f>Personnel!$G$12</f>
        <v/>
      </c>
      <c r="AB23" s="133">
        <f>Personnel!$G$12</f>
        <v/>
      </c>
      <c r="AC23" s="133">
        <f>Personnel!$G$12</f>
        <v/>
      </c>
      <c r="AD23" s="133">
        <f>Personnel!$G$12</f>
        <v/>
      </c>
      <c r="AE23" s="133">
        <f>Personnel!$G$12</f>
        <v/>
      </c>
      <c r="AF23" s="133">
        <f>Personnel!$G$12</f>
        <v/>
      </c>
      <c r="AG23" s="133">
        <f>Personnel!$G$12</f>
        <v/>
      </c>
      <c r="AH23" s="133">
        <f>Personnel!$G$12</f>
        <v/>
      </c>
      <c r="AI23" s="133">
        <f>Personnel!$G$12</f>
        <v/>
      </c>
      <c r="AJ23" s="133">
        <f>Personnel!$G$12</f>
        <v/>
      </c>
      <c r="AK23" s="133">
        <f>Personnel!$G$12</f>
        <v/>
      </c>
      <c r="AL23" s="133">
        <f>Personnel!$G$12</f>
        <v/>
      </c>
      <c r="AM23" s="133">
        <f>Personnel!$G$12</f>
        <v/>
      </c>
      <c r="AN23" s="133">
        <f>Personnel!$G$12</f>
        <v/>
      </c>
      <c r="AO23" s="133">
        <f>Personnel!$G$12</f>
        <v/>
      </c>
      <c r="AP23" s="133">
        <f>Personnel!$G$12</f>
        <v/>
      </c>
      <c r="AQ23" s="133">
        <f>Personnel!$G$12</f>
        <v/>
      </c>
      <c r="AR23" s="133">
        <f>Personnel!$G$12</f>
        <v/>
      </c>
      <c r="AS23" s="133">
        <f>Personnel!$G$12</f>
        <v/>
      </c>
      <c r="AT23" s="133">
        <f>Personnel!$G$17</f>
        <v/>
      </c>
      <c r="AU23" s="133">
        <f>Personnel!$G$17</f>
        <v/>
      </c>
      <c r="AV23" s="133">
        <f>Personnel!$G$17</f>
        <v/>
      </c>
      <c r="AW23" s="133">
        <f>Personnel!$G$17</f>
        <v/>
      </c>
      <c r="AX23" s="133">
        <f>Personnel!$G$17</f>
        <v/>
      </c>
      <c r="AY23" s="133">
        <f>Personnel!$G$17</f>
        <v/>
      </c>
      <c r="AZ23" s="133">
        <f>Personnel!$G$17</f>
        <v/>
      </c>
      <c r="BA23" s="133">
        <f>Personnel!$G$17</f>
        <v/>
      </c>
      <c r="BB23" s="133">
        <f>Personnel!$G$17</f>
        <v/>
      </c>
      <c r="BC23" s="133">
        <f>Personnel!$G$17</f>
        <v/>
      </c>
      <c r="BD23" s="133">
        <f>Personnel!$G$17</f>
        <v/>
      </c>
      <c r="BE23" s="133">
        <f>Personnel!$G$17</f>
        <v/>
      </c>
      <c r="BF23" s="133">
        <f>Personnel!$G$17</f>
        <v/>
      </c>
      <c r="BG23" s="133">
        <f>Personnel!$G$17</f>
        <v/>
      </c>
      <c r="BH23" s="133">
        <f>Personnel!$G$17</f>
        <v/>
      </c>
      <c r="BI23" s="133">
        <f>Personnel!$G$17</f>
        <v/>
      </c>
      <c r="BJ23" s="133">
        <f>Personnel!$G$17</f>
        <v/>
      </c>
      <c r="BK23" s="133">
        <f>Personnel!$G$17</f>
        <v/>
      </c>
      <c r="BL23" s="133">
        <f>Personnel!$G$17</f>
        <v/>
      </c>
      <c r="BM23" s="133">
        <f>Personnel!$G$17</f>
        <v/>
      </c>
      <c r="BN23" s="133">
        <f>Personnel!$G$17</f>
        <v/>
      </c>
      <c r="BO23" s="133">
        <f>Personnel!$G$17</f>
        <v/>
      </c>
      <c r="BP23" s="133">
        <f>Personnel!$G$17</f>
        <v/>
      </c>
      <c r="BQ23" s="133">
        <f>Personnel!$G$17</f>
        <v/>
      </c>
    </row>
    <row r="24">
      <c r="A24" s="117" t="inlineStr">
        <is>
          <t>RAF Advisor Honorariums</t>
        </is>
      </c>
      <c r="B24" s="133" t="n">
        <v>0</v>
      </c>
      <c r="C24" s="133" t="n">
        <v>0</v>
      </c>
      <c r="D24" s="133" t="n">
        <v>0</v>
      </c>
      <c r="E24" s="133" t="n">
        <v>0</v>
      </c>
      <c r="F24" s="133" t="n">
        <v>0</v>
      </c>
      <c r="G24" s="133" t="n">
        <v>0</v>
      </c>
      <c r="H24" s="133" t="n">
        <v>0</v>
      </c>
      <c r="I24" s="133" t="n">
        <v>0</v>
      </c>
      <c r="J24" s="133" t="n">
        <v>0</v>
      </c>
      <c r="K24" s="133" t="n">
        <v>0</v>
      </c>
      <c r="L24" s="133" t="n">
        <v>0</v>
      </c>
      <c r="M24" s="133" t="n">
        <v>0</v>
      </c>
      <c r="N24" s="133" t="n">
        <v>0</v>
      </c>
      <c r="O24" s="133" t="n">
        <v>0</v>
      </c>
      <c r="P24" s="133" t="n">
        <v>0</v>
      </c>
      <c r="Q24" s="133">
        <f>Personnel!E13*4</f>
        <v/>
      </c>
      <c r="R24" s="133">
        <f>Personnel!E13*4</f>
        <v/>
      </c>
      <c r="S24" s="133">
        <f>Personnel!E13*4</f>
        <v/>
      </c>
      <c r="T24" s="133">
        <f>Personnel!E13*4</f>
        <v/>
      </c>
      <c r="U24" s="133">
        <f>Personnel!$E$13*4</f>
        <v/>
      </c>
      <c r="V24" s="133">
        <f>Personnel!$E$13*4</f>
        <v/>
      </c>
      <c r="W24" s="133">
        <f>Personnel!$E$13*4</f>
        <v/>
      </c>
      <c r="X24" s="133">
        <f>Personnel!$E$13*4</f>
        <v/>
      </c>
      <c r="Y24" s="133">
        <f>Personnel!$E$13*4</f>
        <v/>
      </c>
      <c r="Z24" s="133">
        <f>Personnel!$E$13*4</f>
        <v/>
      </c>
      <c r="AA24" s="133">
        <f>Personnel!$E$13*4</f>
        <v/>
      </c>
      <c r="AB24" s="133">
        <f>Personnel!$E$13*4</f>
        <v/>
      </c>
      <c r="AC24" s="133">
        <f>Personnel!$E$13*4</f>
        <v/>
      </c>
      <c r="AD24" s="133">
        <f>Personnel!$E$13*4</f>
        <v/>
      </c>
      <c r="AE24" s="133">
        <f>Personnel!$E$13*4</f>
        <v/>
      </c>
      <c r="AF24" s="133">
        <f>Personnel!$E$13*4</f>
        <v/>
      </c>
      <c r="AG24" s="133">
        <f>Personnel!$E$13*4</f>
        <v/>
      </c>
      <c r="AH24" s="133">
        <f>Personnel!$E$13*4</f>
        <v/>
      </c>
      <c r="AI24" s="133">
        <f>Personnel!$E$13*4</f>
        <v/>
      </c>
      <c r="AJ24" s="133">
        <f>Personnel!$E$13*4</f>
        <v/>
      </c>
      <c r="AK24" s="133">
        <f>Personnel!$E$13*4</f>
        <v/>
      </c>
      <c r="AL24" s="133">
        <f>Personnel!$E$13*4</f>
        <v/>
      </c>
      <c r="AM24" s="133">
        <f>Personnel!$E$13*4</f>
        <v/>
      </c>
      <c r="AN24" s="133" t="n">
        <v>0</v>
      </c>
      <c r="AO24" s="133" t="n">
        <v>0</v>
      </c>
      <c r="AP24" s="133" t="n">
        <v>0</v>
      </c>
      <c r="AQ24" s="133" t="n">
        <v>0</v>
      </c>
      <c r="AR24" s="133" t="n">
        <v>0</v>
      </c>
      <c r="AS24" s="133" t="n">
        <v>0</v>
      </c>
      <c r="AT24" s="133">
        <f>Personnel!$G$17</f>
        <v/>
      </c>
      <c r="AU24" s="133">
        <f>Personnel!$G$17</f>
        <v/>
      </c>
      <c r="AV24" s="133">
        <f>Personnel!$G$17</f>
        <v/>
      </c>
      <c r="AW24" s="133">
        <f>Personnel!$G$17</f>
        <v/>
      </c>
      <c r="AX24" s="133">
        <f>Personnel!$G$17</f>
        <v/>
      </c>
      <c r="AY24" s="133">
        <f>Personnel!$G$17</f>
        <v/>
      </c>
      <c r="AZ24" s="133">
        <f>Personnel!$G$17</f>
        <v/>
      </c>
      <c r="BA24" s="133">
        <f>Personnel!$G$17</f>
        <v/>
      </c>
      <c r="BB24" s="133">
        <f>Personnel!$G$17</f>
        <v/>
      </c>
      <c r="BC24" s="133">
        <f>Personnel!$G$17</f>
        <v/>
      </c>
      <c r="BD24" s="133">
        <f>Personnel!$G$17</f>
        <v/>
      </c>
      <c r="BE24" s="133">
        <f>Personnel!$G$17</f>
        <v/>
      </c>
      <c r="BF24" s="133">
        <f>Personnel!$G$17</f>
        <v/>
      </c>
      <c r="BG24" s="133">
        <f>Personnel!$G$17</f>
        <v/>
      </c>
      <c r="BH24" s="133">
        <f>Personnel!$G$17</f>
        <v/>
      </c>
      <c r="BI24" s="133">
        <f>Personnel!$G$17</f>
        <v/>
      </c>
      <c r="BJ24" s="133">
        <f>Personnel!$G$17</f>
        <v/>
      </c>
      <c r="BK24" s="133">
        <f>Personnel!$G$17</f>
        <v/>
      </c>
      <c r="BL24" s="133">
        <f>Personnel!$G$17</f>
        <v/>
      </c>
      <c r="BM24" s="133">
        <f>Personnel!$G$17</f>
        <v/>
      </c>
      <c r="BN24" s="133">
        <f>Personnel!$G$17</f>
        <v/>
      </c>
      <c r="BO24" s="133">
        <f>Personnel!$G$17</f>
        <v/>
      </c>
      <c r="BP24" s="133">
        <f>Personnel!$G$17</f>
        <v/>
      </c>
      <c r="BQ24" s="133">
        <f>Personnel!$G$17</f>
        <v/>
      </c>
      <c r="BR24" s="205">
        <f>sum(B24:U24)</f>
        <v/>
      </c>
    </row>
    <row r="25">
      <c r="A25" s="38" t="n"/>
    </row>
    <row r="26">
      <c r="A26" s="38" t="inlineStr">
        <is>
          <t>RGT Director: Executive</t>
        </is>
      </c>
      <c r="B26" s="117" t="n">
        <v>0</v>
      </c>
      <c r="C26" s="117" t="n">
        <v>0</v>
      </c>
      <c r="D26" s="117" t="n">
        <v>0</v>
      </c>
      <c r="E26" s="117" t="n">
        <v>0</v>
      </c>
      <c r="F26" s="117" t="n">
        <v>0</v>
      </c>
      <c r="G26" s="117" t="n">
        <v>0</v>
      </c>
      <c r="H26" s="117" t="n">
        <v>0</v>
      </c>
      <c r="I26" s="117" t="n">
        <v>0</v>
      </c>
      <c r="J26" s="117" t="n">
        <v>0</v>
      </c>
      <c r="K26" s="117" t="n">
        <v>0</v>
      </c>
      <c r="L26" s="117" t="n">
        <v>0</v>
      </c>
      <c r="M26" s="117" t="n">
        <v>0</v>
      </c>
      <c r="N26" s="117" t="n">
        <v>0</v>
      </c>
      <c r="O26" s="117" t="n">
        <v>0</v>
      </c>
      <c r="P26" s="117" t="n">
        <v>0</v>
      </c>
      <c r="Q26" s="117" t="n">
        <v>0</v>
      </c>
      <c r="R26" s="117" t="n">
        <v>0</v>
      </c>
      <c r="S26" s="133">
        <f>Personnel!$G$15</f>
        <v/>
      </c>
      <c r="T26" s="133">
        <f>Personnel!$G$15</f>
        <v/>
      </c>
      <c r="U26" s="133">
        <f>Personnel!$G$15</f>
        <v/>
      </c>
      <c r="V26" s="133">
        <f>Personnel!$G$15</f>
        <v/>
      </c>
      <c r="W26" s="133">
        <f>Personnel!$G$15</f>
        <v/>
      </c>
      <c r="X26" s="133">
        <f>Personnel!$G$15</f>
        <v/>
      </c>
      <c r="Y26" s="133">
        <f>Personnel!$G$15</f>
        <v/>
      </c>
      <c r="Z26" s="133">
        <f>Personnel!$G$15</f>
        <v/>
      </c>
      <c r="AA26" s="133">
        <f>Personnel!$G$15</f>
        <v/>
      </c>
      <c r="AB26" s="133">
        <f>Personnel!$G$15</f>
        <v/>
      </c>
      <c r="AC26" s="133">
        <f>Personnel!$G$15</f>
        <v/>
      </c>
      <c r="AD26" s="133">
        <f>Personnel!$G$15</f>
        <v/>
      </c>
      <c r="AE26" s="133">
        <f>Personnel!$G$15</f>
        <v/>
      </c>
      <c r="AF26" s="133">
        <f>Personnel!$G$15</f>
        <v/>
      </c>
      <c r="AG26" s="133">
        <f>Personnel!$G$15</f>
        <v/>
      </c>
      <c r="AH26" s="133">
        <f>Personnel!$G$15</f>
        <v/>
      </c>
      <c r="AI26" s="133">
        <f>Personnel!$G$15</f>
        <v/>
      </c>
      <c r="AJ26" s="133">
        <f>Personnel!$G$15</f>
        <v/>
      </c>
      <c r="AK26" s="133">
        <f>Personnel!$G$15</f>
        <v/>
      </c>
      <c r="AL26" s="133">
        <f>Personnel!$G$15</f>
        <v/>
      </c>
      <c r="AM26" s="133">
        <f>Personnel!$G$15</f>
        <v/>
      </c>
      <c r="AN26" s="133" t="n">
        <v>0</v>
      </c>
      <c r="AO26" s="133" t="n">
        <v>0</v>
      </c>
      <c r="AP26" s="133" t="n">
        <v>0</v>
      </c>
      <c r="AQ26" s="133" t="n">
        <v>0</v>
      </c>
      <c r="AR26" s="133" t="n">
        <v>0</v>
      </c>
      <c r="AS26" s="133" t="n">
        <v>0</v>
      </c>
      <c r="AT26" s="133">
        <f>Personnel!$G$17</f>
        <v/>
      </c>
      <c r="AU26" s="133">
        <f>Personnel!$G$17</f>
        <v/>
      </c>
      <c r="AV26" s="133">
        <f>Personnel!$G$17</f>
        <v/>
      </c>
      <c r="AW26" s="133">
        <f>Personnel!$G$17</f>
        <v/>
      </c>
      <c r="AX26" s="133">
        <f>Personnel!$G$17</f>
        <v/>
      </c>
      <c r="AY26" s="133">
        <f>Personnel!$G$17</f>
        <v/>
      </c>
      <c r="AZ26" s="133">
        <f>Personnel!$G$17</f>
        <v/>
      </c>
      <c r="BA26" s="133">
        <f>Personnel!$G$17</f>
        <v/>
      </c>
      <c r="BB26" s="133">
        <f>Personnel!$G$17</f>
        <v/>
      </c>
      <c r="BC26" s="133">
        <f>Personnel!$G$17</f>
        <v/>
      </c>
      <c r="BD26" s="133">
        <f>Personnel!$G$17</f>
        <v/>
      </c>
      <c r="BE26" s="133">
        <f>Personnel!$G$17</f>
        <v/>
      </c>
      <c r="BF26" s="133">
        <f>Personnel!$G$17</f>
        <v/>
      </c>
      <c r="BG26" s="133">
        <f>Personnel!$G$17</f>
        <v/>
      </c>
      <c r="BH26" s="133">
        <f>Personnel!$G$17</f>
        <v/>
      </c>
      <c r="BI26" s="133">
        <f>Personnel!$G$17</f>
        <v/>
      </c>
      <c r="BJ26" s="133">
        <f>Personnel!$G$17</f>
        <v/>
      </c>
      <c r="BK26" s="133">
        <f>Personnel!$G$17</f>
        <v/>
      </c>
      <c r="BL26" s="133">
        <f>Personnel!$G$17</f>
        <v/>
      </c>
      <c r="BM26" s="133">
        <f>Personnel!$G$17</f>
        <v/>
      </c>
      <c r="BN26" s="133">
        <f>Personnel!$G$17</f>
        <v/>
      </c>
      <c r="BO26" s="133">
        <f>Personnel!$G$17</f>
        <v/>
      </c>
      <c r="BP26" s="133">
        <f>Personnel!$G$17</f>
        <v/>
      </c>
      <c r="BQ26" s="133">
        <f>Personnel!$G$17</f>
        <v/>
      </c>
    </row>
    <row r="27">
      <c r="A27" s="38" t="inlineStr">
        <is>
          <t>RGT Director: Crypto Operations</t>
        </is>
      </c>
      <c r="B27" s="117" t="n">
        <v>0</v>
      </c>
      <c r="C27" s="117" t="n">
        <v>0</v>
      </c>
      <c r="D27" s="117" t="n">
        <v>0</v>
      </c>
      <c r="E27" s="117" t="n">
        <v>0</v>
      </c>
      <c r="F27" s="117" t="n">
        <v>0</v>
      </c>
      <c r="G27" s="117" t="n">
        <v>0</v>
      </c>
      <c r="H27" s="117" t="n">
        <v>0</v>
      </c>
      <c r="I27" s="117" t="n">
        <v>0</v>
      </c>
      <c r="J27" s="117" t="n">
        <v>0</v>
      </c>
      <c r="K27" s="117" t="n">
        <v>0</v>
      </c>
      <c r="L27" s="117" t="n">
        <v>0</v>
      </c>
      <c r="M27" s="117" t="n">
        <v>0</v>
      </c>
      <c r="N27" s="117" t="n">
        <v>0</v>
      </c>
      <c r="O27" s="117" t="n">
        <v>0</v>
      </c>
      <c r="P27" s="117" t="n">
        <v>0</v>
      </c>
      <c r="Q27" s="117" t="n">
        <v>0</v>
      </c>
      <c r="R27" s="117" t="n">
        <v>0</v>
      </c>
      <c r="S27" s="133">
        <f>Personnel!$G$16</f>
        <v/>
      </c>
      <c r="T27" s="133">
        <f>Personnel!$G$16</f>
        <v/>
      </c>
      <c r="U27" s="133">
        <f>Personnel!$G$16</f>
        <v/>
      </c>
      <c r="V27" s="133">
        <f>Personnel!$G$16</f>
        <v/>
      </c>
      <c r="W27" s="133">
        <f>Personnel!$G$16</f>
        <v/>
      </c>
      <c r="X27" s="133">
        <f>Personnel!$G$16</f>
        <v/>
      </c>
      <c r="Y27" s="133">
        <f>Personnel!$G$16</f>
        <v/>
      </c>
      <c r="Z27" s="133">
        <f>Personnel!$G$16</f>
        <v/>
      </c>
      <c r="AA27" s="133">
        <f>Personnel!$G$16</f>
        <v/>
      </c>
      <c r="AB27" s="133">
        <f>Personnel!$G$16</f>
        <v/>
      </c>
      <c r="AC27" s="133">
        <f>Personnel!$G$16</f>
        <v/>
      </c>
      <c r="AD27" s="133">
        <f>Personnel!$G$16</f>
        <v/>
      </c>
      <c r="AE27" s="133">
        <f>Personnel!$G$16</f>
        <v/>
      </c>
      <c r="AF27" s="133">
        <f>Personnel!$G$16</f>
        <v/>
      </c>
      <c r="AG27" s="133">
        <f>Personnel!$G$16</f>
        <v/>
      </c>
      <c r="AH27" s="133">
        <f>Personnel!$G$16</f>
        <v/>
      </c>
      <c r="AI27" s="133">
        <f>Personnel!$G$16</f>
        <v/>
      </c>
      <c r="AJ27" s="133">
        <f>Personnel!$G$16</f>
        <v/>
      </c>
      <c r="AK27" s="133">
        <f>Personnel!$G$16</f>
        <v/>
      </c>
      <c r="AL27" s="133">
        <f>Personnel!$G$16</f>
        <v/>
      </c>
      <c r="AM27" s="133">
        <f>Personnel!$G$16</f>
        <v/>
      </c>
      <c r="AN27" s="133" t="n">
        <v>0</v>
      </c>
      <c r="AO27" s="133" t="n">
        <v>0</v>
      </c>
      <c r="AP27" s="133" t="n">
        <v>0</v>
      </c>
      <c r="AQ27" s="133" t="n">
        <v>0</v>
      </c>
      <c r="AR27" s="133" t="n">
        <v>0</v>
      </c>
      <c r="AS27" s="133" t="n">
        <v>0</v>
      </c>
      <c r="AT27" s="133">
        <f>Personnel!$G$17</f>
        <v/>
      </c>
      <c r="AU27" s="133">
        <f>Personnel!$G$17</f>
        <v/>
      </c>
      <c r="AV27" s="133">
        <f>Personnel!$G$17</f>
        <v/>
      </c>
      <c r="AW27" s="133">
        <f>Personnel!$G$17</f>
        <v/>
      </c>
      <c r="AX27" s="133">
        <f>Personnel!$G$17</f>
        <v/>
      </c>
      <c r="AY27" s="133">
        <f>Personnel!$G$17</f>
        <v/>
      </c>
      <c r="AZ27" s="133">
        <f>Personnel!$G$17</f>
        <v/>
      </c>
      <c r="BA27" s="133">
        <f>Personnel!$G$17</f>
        <v/>
      </c>
      <c r="BB27" s="133">
        <f>Personnel!$G$17</f>
        <v/>
      </c>
      <c r="BC27" s="133">
        <f>Personnel!$G$17</f>
        <v/>
      </c>
      <c r="BD27" s="133">
        <f>Personnel!$G$17</f>
        <v/>
      </c>
      <c r="BE27" s="133">
        <f>Personnel!$G$17</f>
        <v/>
      </c>
      <c r="BF27" s="133">
        <f>Personnel!$G$17</f>
        <v/>
      </c>
      <c r="BG27" s="133">
        <f>Personnel!$G$17</f>
        <v/>
      </c>
      <c r="BH27" s="133">
        <f>Personnel!$G$17</f>
        <v/>
      </c>
      <c r="BI27" s="133">
        <f>Personnel!$G$17</f>
        <v/>
      </c>
      <c r="BJ27" s="133">
        <f>Personnel!$G$17</f>
        <v/>
      </c>
      <c r="BK27" s="133">
        <f>Personnel!$G$17</f>
        <v/>
      </c>
      <c r="BL27" s="133">
        <f>Personnel!$G$17</f>
        <v/>
      </c>
      <c r="BM27" s="133">
        <f>Personnel!$G$17</f>
        <v/>
      </c>
      <c r="BN27" s="133">
        <f>Personnel!$G$17</f>
        <v/>
      </c>
      <c r="BO27" s="133">
        <f>Personnel!$G$17</f>
        <v/>
      </c>
      <c r="BP27" s="133">
        <f>Personnel!$G$17</f>
        <v/>
      </c>
      <c r="BQ27" s="133">
        <f>Personnel!$G$17</f>
        <v/>
      </c>
    </row>
    <row r="28">
      <c r="A28" s="38" t="inlineStr">
        <is>
          <t>RGT Compliance Officer</t>
        </is>
      </c>
      <c r="B28" s="117" t="n">
        <v>0</v>
      </c>
      <c r="C28" s="117" t="n">
        <v>0</v>
      </c>
      <c r="D28" s="117" t="n">
        <v>0</v>
      </c>
      <c r="E28" s="117" t="n">
        <v>0</v>
      </c>
      <c r="F28" s="117" t="n">
        <v>0</v>
      </c>
      <c r="G28" s="117" t="n">
        <v>0</v>
      </c>
      <c r="H28" s="117" t="n">
        <v>0</v>
      </c>
      <c r="I28" s="117" t="n">
        <v>0</v>
      </c>
      <c r="J28" s="117" t="n">
        <v>0</v>
      </c>
      <c r="K28" s="117" t="n">
        <v>0</v>
      </c>
      <c r="L28" s="117" t="n">
        <v>0</v>
      </c>
      <c r="M28" s="117" t="n">
        <v>0</v>
      </c>
      <c r="N28" s="117" t="n">
        <v>0</v>
      </c>
      <c r="O28" s="117" t="n">
        <v>0</v>
      </c>
      <c r="P28" s="117" t="n">
        <v>0</v>
      </c>
      <c r="Q28" s="117" t="n">
        <v>0</v>
      </c>
      <c r="R28" s="117" t="n">
        <v>0</v>
      </c>
      <c r="S28" s="133">
        <f>Personnel!$G$17</f>
        <v/>
      </c>
      <c r="T28" s="133">
        <f>Personnel!$G$17</f>
        <v/>
      </c>
      <c r="U28" s="133">
        <f>Personnel!$G$17</f>
        <v/>
      </c>
      <c r="V28" s="133">
        <f>Personnel!$G$17</f>
        <v/>
      </c>
      <c r="W28" s="133">
        <f>Personnel!$G$17</f>
        <v/>
      </c>
      <c r="X28" s="133">
        <f>Personnel!$G$17</f>
        <v/>
      </c>
      <c r="Y28" s="133">
        <f>Personnel!$G$17</f>
        <v/>
      </c>
      <c r="Z28" s="133">
        <f>Personnel!$G$17</f>
        <v/>
      </c>
      <c r="AA28" s="133">
        <f>Personnel!$G$17</f>
        <v/>
      </c>
      <c r="AB28" s="133">
        <f>Personnel!$G$17</f>
        <v/>
      </c>
      <c r="AC28" s="133">
        <f>Personnel!$G$17</f>
        <v/>
      </c>
      <c r="AD28" s="133">
        <f>Personnel!$G$17</f>
        <v/>
      </c>
      <c r="AE28" s="133">
        <f>Personnel!$G$17</f>
        <v/>
      </c>
      <c r="AF28" s="133">
        <f>Personnel!$G$17</f>
        <v/>
      </c>
      <c r="AG28" s="133">
        <f>Personnel!$G$17</f>
        <v/>
      </c>
      <c r="AH28" s="133">
        <f>Personnel!$G$17</f>
        <v/>
      </c>
      <c r="AI28" s="133">
        <f>Personnel!$G$17</f>
        <v/>
      </c>
      <c r="AJ28" s="133">
        <f>Personnel!$G$17</f>
        <v/>
      </c>
      <c r="AK28" s="133">
        <f>Personnel!$G$17</f>
        <v/>
      </c>
      <c r="AL28" s="133">
        <f>Personnel!$G$17</f>
        <v/>
      </c>
      <c r="AM28" s="133">
        <f>Personnel!$G$17</f>
        <v/>
      </c>
      <c r="AN28" s="133">
        <f>Personnel!$G$17</f>
        <v/>
      </c>
      <c r="AO28" s="133">
        <f>Personnel!$G$17</f>
        <v/>
      </c>
      <c r="AP28" s="133">
        <f>Personnel!$G$17</f>
        <v/>
      </c>
      <c r="AQ28" s="133">
        <f>Personnel!$G$17</f>
        <v/>
      </c>
      <c r="AR28" s="133">
        <f>Personnel!$G$17</f>
        <v/>
      </c>
      <c r="AS28" s="133">
        <f>Personnel!$G$17</f>
        <v/>
      </c>
      <c r="AT28" s="133">
        <f>Personnel!$G$17</f>
        <v/>
      </c>
      <c r="AU28" s="133">
        <f>Personnel!$G$17</f>
        <v/>
      </c>
      <c r="AV28" s="133">
        <f>Personnel!$G$17</f>
        <v/>
      </c>
      <c r="AW28" s="133">
        <f>Personnel!$G$17</f>
        <v/>
      </c>
      <c r="AX28" s="133">
        <f>Personnel!$G$17</f>
        <v/>
      </c>
      <c r="AY28" s="133">
        <f>Personnel!$G$17</f>
        <v/>
      </c>
      <c r="AZ28" s="133">
        <f>Personnel!$G$17</f>
        <v/>
      </c>
      <c r="BA28" s="133">
        <f>Personnel!$G$17</f>
        <v/>
      </c>
      <c r="BB28" s="133">
        <f>Personnel!$G$17</f>
        <v/>
      </c>
      <c r="BC28" s="133">
        <f>Personnel!$G$17</f>
        <v/>
      </c>
      <c r="BD28" s="133">
        <f>Personnel!$G$17</f>
        <v/>
      </c>
      <c r="BE28" s="133">
        <f>Personnel!$G$17</f>
        <v/>
      </c>
      <c r="BF28" s="133">
        <f>Personnel!$G$17</f>
        <v/>
      </c>
      <c r="BG28" s="133">
        <f>Personnel!$G$17</f>
        <v/>
      </c>
      <c r="BH28" s="133">
        <f>Personnel!$G$17</f>
        <v/>
      </c>
      <c r="BI28" s="133">
        <f>Personnel!$G$17</f>
        <v/>
      </c>
      <c r="BJ28" s="133">
        <f>Personnel!$G$17</f>
        <v/>
      </c>
      <c r="BK28" s="133">
        <f>Personnel!$G$17</f>
        <v/>
      </c>
      <c r="BL28" s="133">
        <f>Personnel!$G$17</f>
        <v/>
      </c>
      <c r="BM28" s="133">
        <f>Personnel!$G$17</f>
        <v/>
      </c>
      <c r="BN28" s="133">
        <f>Personnel!$G$17</f>
        <v/>
      </c>
      <c r="BO28" s="133">
        <f>Personnel!$G$17</f>
        <v/>
      </c>
      <c r="BP28" s="133">
        <f>Personnel!$G$17</f>
        <v/>
      </c>
      <c r="BQ28" s="133">
        <f>Personnel!$G$17</f>
        <v/>
      </c>
    </row>
    <row r="29">
      <c r="A29" s="38" t="inlineStr">
        <is>
          <t>Marketing Manager</t>
        </is>
      </c>
      <c r="B29" s="117" t="n">
        <v>0</v>
      </c>
      <c r="C29" s="117" t="n">
        <v>0</v>
      </c>
      <c r="D29" s="117" t="n">
        <v>0</v>
      </c>
      <c r="E29" s="117" t="n">
        <v>0</v>
      </c>
      <c r="F29" s="117" t="n">
        <v>0</v>
      </c>
      <c r="G29" s="117" t="n">
        <v>0</v>
      </c>
      <c r="H29" s="117" t="n">
        <v>0</v>
      </c>
      <c r="I29" s="117" t="n">
        <v>0</v>
      </c>
      <c r="J29" s="117" t="n">
        <v>0</v>
      </c>
      <c r="K29" s="117" t="n">
        <v>0</v>
      </c>
      <c r="L29" s="117" t="n">
        <v>0</v>
      </c>
      <c r="M29" s="117" t="n">
        <v>0</v>
      </c>
      <c r="N29" s="117" t="n">
        <v>0</v>
      </c>
      <c r="O29" s="117" t="n">
        <v>0</v>
      </c>
      <c r="P29" s="117" t="n">
        <v>0</v>
      </c>
      <c r="Q29" s="117" t="n">
        <v>0</v>
      </c>
      <c r="R29" s="117" t="n">
        <v>0</v>
      </c>
      <c r="S29" s="133">
        <f>Personnel!$G$18</f>
        <v/>
      </c>
      <c r="T29" s="133">
        <f>Personnel!$G$18</f>
        <v/>
      </c>
      <c r="U29" s="133">
        <f>Personnel!$G$18</f>
        <v/>
      </c>
      <c r="V29" s="133">
        <f>Personnel!$G$18</f>
        <v/>
      </c>
      <c r="W29" s="133">
        <f>Personnel!$G$18</f>
        <v/>
      </c>
      <c r="X29" s="133">
        <f>Personnel!$G$18</f>
        <v/>
      </c>
      <c r="Y29" s="133">
        <f>Personnel!$G$18</f>
        <v/>
      </c>
      <c r="Z29" s="133">
        <f>Personnel!$G$18</f>
        <v/>
      </c>
      <c r="AA29" s="133">
        <f>Personnel!$G$18</f>
        <v/>
      </c>
      <c r="AB29" s="133">
        <f>Personnel!$G$18</f>
        <v/>
      </c>
      <c r="AC29" s="133">
        <f>Personnel!$G$18</f>
        <v/>
      </c>
      <c r="AD29" s="133">
        <f>Personnel!$G$18</f>
        <v/>
      </c>
      <c r="AE29" s="133">
        <f>Personnel!$G$18</f>
        <v/>
      </c>
      <c r="AF29" s="133">
        <f>Personnel!$G$18</f>
        <v/>
      </c>
      <c r="AG29" s="133">
        <f>Personnel!$G$18</f>
        <v/>
      </c>
      <c r="AH29" s="133">
        <f>Personnel!$G$18</f>
        <v/>
      </c>
      <c r="AI29" s="133">
        <f>Personnel!$G$18</f>
        <v/>
      </c>
      <c r="AJ29" s="133">
        <f>Personnel!$G$18</f>
        <v/>
      </c>
      <c r="AK29" s="133">
        <f>Personnel!$G$18</f>
        <v/>
      </c>
      <c r="AL29" s="133">
        <f>Personnel!$G$18</f>
        <v/>
      </c>
      <c r="AM29" s="133">
        <f>Personnel!$G$18</f>
        <v/>
      </c>
      <c r="AN29" s="133" t="n">
        <v>0</v>
      </c>
      <c r="AO29" s="133" t="n">
        <v>0</v>
      </c>
      <c r="AP29" s="133" t="n">
        <v>0</v>
      </c>
      <c r="AQ29" s="133" t="n">
        <v>0</v>
      </c>
      <c r="AR29" s="133" t="n">
        <v>0</v>
      </c>
      <c r="AS29" s="133" t="n">
        <v>0</v>
      </c>
      <c r="AT29" s="133">
        <f>Personnel!$G$17</f>
        <v/>
      </c>
      <c r="AU29" s="133">
        <f>Personnel!$G$17</f>
        <v/>
      </c>
      <c r="AV29" s="133">
        <f>Personnel!$G$17</f>
        <v/>
      </c>
      <c r="AW29" s="133">
        <f>Personnel!$G$17</f>
        <v/>
      </c>
      <c r="AX29" s="133">
        <f>Personnel!$G$17</f>
        <v/>
      </c>
      <c r="AY29" s="133">
        <f>Personnel!$G$17</f>
        <v/>
      </c>
      <c r="AZ29" s="133">
        <f>Personnel!$G$17</f>
        <v/>
      </c>
      <c r="BA29" s="133">
        <f>Personnel!$G$17</f>
        <v/>
      </c>
      <c r="BB29" s="133">
        <f>Personnel!$G$17</f>
        <v/>
      </c>
      <c r="BC29" s="133">
        <f>Personnel!$G$17</f>
        <v/>
      </c>
      <c r="BD29" s="133">
        <f>Personnel!$G$17</f>
        <v/>
      </c>
      <c r="BE29" s="133">
        <f>Personnel!$G$17</f>
        <v/>
      </c>
      <c r="BF29" s="133">
        <f>Personnel!$G$17</f>
        <v/>
      </c>
      <c r="BG29" s="133">
        <f>Personnel!$G$17</f>
        <v/>
      </c>
      <c r="BH29" s="133">
        <f>Personnel!$G$17</f>
        <v/>
      </c>
      <c r="BI29" s="133">
        <f>Personnel!$G$17</f>
        <v/>
      </c>
      <c r="BJ29" s="133">
        <f>Personnel!$G$17</f>
        <v/>
      </c>
      <c r="BK29" s="133">
        <f>Personnel!$G$17</f>
        <v/>
      </c>
      <c r="BL29" s="133">
        <f>Personnel!$G$17</f>
        <v/>
      </c>
      <c r="BM29" s="133">
        <f>Personnel!$G$17</f>
        <v/>
      </c>
      <c r="BN29" s="133">
        <f>Personnel!$G$17</f>
        <v/>
      </c>
      <c r="BO29" s="133">
        <f>Personnel!$G$17</f>
        <v/>
      </c>
      <c r="BP29" s="133">
        <f>Personnel!$G$17</f>
        <v/>
      </c>
      <c r="BQ29" s="133">
        <f>Personnel!$G$17</f>
        <v/>
      </c>
    </row>
    <row r="30">
      <c r="A30" s="38" t="inlineStr">
        <is>
          <t>Business Development</t>
        </is>
      </c>
      <c r="B30" s="117" t="n">
        <v>0</v>
      </c>
      <c r="C30" s="117" t="n">
        <v>0</v>
      </c>
      <c r="D30" s="117" t="n">
        <v>0</v>
      </c>
      <c r="E30" s="117" t="n">
        <v>0</v>
      </c>
      <c r="F30" s="117" t="n">
        <v>0</v>
      </c>
      <c r="G30" s="117" t="n">
        <v>0</v>
      </c>
      <c r="H30" s="117" t="n">
        <v>0</v>
      </c>
      <c r="I30" s="117" t="n">
        <v>0</v>
      </c>
      <c r="J30" s="117" t="n">
        <v>0</v>
      </c>
      <c r="K30" s="117" t="n">
        <v>0</v>
      </c>
      <c r="L30" s="117" t="n">
        <v>0</v>
      </c>
      <c r="M30" s="117" t="n">
        <v>0</v>
      </c>
      <c r="N30" s="117" t="n">
        <v>0</v>
      </c>
      <c r="O30" s="117" t="n">
        <v>0</v>
      </c>
      <c r="P30" s="117" t="n">
        <v>0</v>
      </c>
      <c r="Q30" s="117" t="n">
        <v>0</v>
      </c>
      <c r="R30" s="117" t="n">
        <v>0</v>
      </c>
      <c r="S30" s="133">
        <f>Personnel!$G$19</f>
        <v/>
      </c>
      <c r="T30" s="133">
        <f>Personnel!$G$19</f>
        <v/>
      </c>
      <c r="U30" s="133">
        <f>Personnel!$G$19</f>
        <v/>
      </c>
      <c r="V30" s="133">
        <f>Personnel!$G$19</f>
        <v/>
      </c>
      <c r="W30" s="133">
        <f>Personnel!$G$19</f>
        <v/>
      </c>
      <c r="X30" s="133">
        <f>Personnel!$G$19</f>
        <v/>
      </c>
      <c r="Y30" s="133">
        <f>Personnel!$G$19</f>
        <v/>
      </c>
      <c r="Z30" s="133">
        <f>Personnel!$G$19</f>
        <v/>
      </c>
      <c r="AA30" s="133">
        <f>Personnel!$G$19</f>
        <v/>
      </c>
      <c r="AB30" s="133">
        <f>Personnel!$G$19</f>
        <v/>
      </c>
      <c r="AC30" s="133">
        <f>Personnel!$G$19</f>
        <v/>
      </c>
      <c r="AD30" s="133">
        <f>Personnel!$G$19</f>
        <v/>
      </c>
      <c r="AE30" s="133">
        <f>Personnel!$G$19</f>
        <v/>
      </c>
      <c r="AF30" s="133">
        <f>Personnel!$G$19</f>
        <v/>
      </c>
      <c r="AG30" s="133">
        <f>Personnel!$G$19</f>
        <v/>
      </c>
      <c r="AH30" s="133">
        <f>Personnel!$G$19</f>
        <v/>
      </c>
      <c r="AI30" s="133">
        <f>Personnel!$G$19</f>
        <v/>
      </c>
      <c r="AJ30" s="133">
        <f>Personnel!$G$19</f>
        <v/>
      </c>
      <c r="AK30" s="133">
        <f>Personnel!$G$19</f>
        <v/>
      </c>
      <c r="AL30" s="133">
        <f>Personnel!$G$19</f>
        <v/>
      </c>
      <c r="AM30" s="133">
        <f>Personnel!$G$19</f>
        <v/>
      </c>
      <c r="AN30" s="133" t="n">
        <v>0</v>
      </c>
      <c r="AO30" s="133" t="n">
        <v>0</v>
      </c>
      <c r="AP30" s="133" t="n">
        <v>0</v>
      </c>
      <c r="AQ30" s="133" t="n">
        <v>0</v>
      </c>
      <c r="AR30" s="133" t="n">
        <v>0</v>
      </c>
      <c r="AS30" s="133" t="n">
        <v>0</v>
      </c>
      <c r="AT30" s="133">
        <f>Personnel!$G$17</f>
        <v/>
      </c>
      <c r="AU30" s="133">
        <f>Personnel!$G$17</f>
        <v/>
      </c>
      <c r="AV30" s="133">
        <f>Personnel!$G$17</f>
        <v/>
      </c>
      <c r="AW30" s="133">
        <f>Personnel!$G$17</f>
        <v/>
      </c>
      <c r="AX30" s="133">
        <f>Personnel!$G$17</f>
        <v/>
      </c>
      <c r="AY30" s="133">
        <f>Personnel!$G$17</f>
        <v/>
      </c>
      <c r="AZ30" s="133">
        <f>Personnel!$G$17</f>
        <v/>
      </c>
      <c r="BA30" s="133">
        <f>Personnel!$G$17</f>
        <v/>
      </c>
      <c r="BB30" s="133">
        <f>Personnel!$G$17</f>
        <v/>
      </c>
      <c r="BC30" s="133">
        <f>Personnel!$G$17</f>
        <v/>
      </c>
      <c r="BD30" s="133">
        <f>Personnel!$G$17</f>
        <v/>
      </c>
      <c r="BE30" s="133">
        <f>Personnel!$G$17</f>
        <v/>
      </c>
      <c r="BF30" s="133">
        <f>Personnel!$G$17</f>
        <v/>
      </c>
      <c r="BG30" s="133">
        <f>Personnel!$G$17</f>
        <v/>
      </c>
      <c r="BH30" s="133">
        <f>Personnel!$G$17</f>
        <v/>
      </c>
      <c r="BI30" s="133">
        <f>Personnel!$G$17</f>
        <v/>
      </c>
      <c r="BJ30" s="133">
        <f>Personnel!$G$17</f>
        <v/>
      </c>
      <c r="BK30" s="133">
        <f>Personnel!$G$17</f>
        <v/>
      </c>
      <c r="BL30" s="133">
        <f>Personnel!$G$17</f>
        <v/>
      </c>
      <c r="BM30" s="133">
        <f>Personnel!$G$17</f>
        <v/>
      </c>
      <c r="BN30" s="133">
        <f>Personnel!$G$17</f>
        <v/>
      </c>
      <c r="BO30" s="133">
        <f>Personnel!$G$17</f>
        <v/>
      </c>
      <c r="BP30" s="133">
        <f>Personnel!$G$17</f>
        <v/>
      </c>
      <c r="BQ30" s="133">
        <f>Personnel!$G$17</f>
        <v/>
      </c>
    </row>
    <row r="31">
      <c r="A31" s="117" t="n"/>
    </row>
    <row r="32">
      <c r="A32" s="38" t="inlineStr">
        <is>
          <t>Rust Developer</t>
        </is>
      </c>
      <c r="B32" s="117" t="n">
        <v>0</v>
      </c>
      <c r="C32" s="117" t="n">
        <v>0</v>
      </c>
      <c r="D32" s="117" t="n">
        <v>0</v>
      </c>
      <c r="E32" s="117" t="n">
        <v>0</v>
      </c>
      <c r="F32" s="117" t="n">
        <v>0</v>
      </c>
      <c r="G32" s="117" t="n">
        <v>0</v>
      </c>
      <c r="H32" s="117" t="n">
        <v>0</v>
      </c>
      <c r="I32" s="117" t="n">
        <v>0</v>
      </c>
      <c r="J32" s="117" t="n">
        <v>0</v>
      </c>
      <c r="K32" s="117" t="n">
        <v>0</v>
      </c>
      <c r="L32" s="117" t="n">
        <v>0</v>
      </c>
      <c r="M32" s="117" t="n">
        <v>0</v>
      </c>
      <c r="N32" s="117" t="n">
        <v>0</v>
      </c>
      <c r="O32" s="117" t="n">
        <v>0</v>
      </c>
      <c r="P32" s="117" t="n">
        <v>0</v>
      </c>
      <c r="Q32" s="117" t="n">
        <v>0</v>
      </c>
      <c r="R32" s="117" t="n">
        <v>0</v>
      </c>
      <c r="S32" s="133">
        <f>Personnel!$G$22</f>
        <v/>
      </c>
      <c r="T32" s="133">
        <f>Personnel!$G$22</f>
        <v/>
      </c>
      <c r="U32" s="133">
        <f>Personnel!$G$22</f>
        <v/>
      </c>
      <c r="V32" s="133">
        <f>Personnel!$G$22</f>
        <v/>
      </c>
      <c r="W32" s="133">
        <f>Personnel!$G$22</f>
        <v/>
      </c>
      <c r="X32" s="133">
        <f>Personnel!$G$22</f>
        <v/>
      </c>
      <c r="Y32" s="133">
        <f>Personnel!$G$22</f>
        <v/>
      </c>
      <c r="Z32" s="133">
        <f>Personnel!$G$22</f>
        <v/>
      </c>
      <c r="AA32" s="133">
        <f>Personnel!$G$22</f>
        <v/>
      </c>
      <c r="AB32" s="133">
        <f>Personnel!$G$22</f>
        <v/>
      </c>
      <c r="AC32" s="133">
        <f>Personnel!$G$22</f>
        <v/>
      </c>
      <c r="AD32" s="133">
        <f>Personnel!$G$22</f>
        <v/>
      </c>
      <c r="AE32" s="133">
        <f>Personnel!$G$22</f>
        <v/>
      </c>
      <c r="AF32" s="133">
        <f>Personnel!$G$22</f>
        <v/>
      </c>
      <c r="AG32" s="133">
        <f>Personnel!$G$22</f>
        <v/>
      </c>
      <c r="AH32" s="133">
        <f>Personnel!$G$22</f>
        <v/>
      </c>
      <c r="AI32" s="133">
        <f>Personnel!$G$22</f>
        <v/>
      </c>
      <c r="AJ32" s="133">
        <f>Personnel!$G$22</f>
        <v/>
      </c>
      <c r="AK32" s="133">
        <f>Personnel!$G$22</f>
        <v/>
      </c>
      <c r="AL32" s="133">
        <f>Personnel!$G$22</f>
        <v/>
      </c>
      <c r="AM32" s="133">
        <f>Personnel!$G$22</f>
        <v/>
      </c>
      <c r="AN32" s="133">
        <f>Personnel!$G$22</f>
        <v/>
      </c>
      <c r="AO32" s="133">
        <f>Personnel!$G$22</f>
        <v/>
      </c>
      <c r="AP32" s="133">
        <f>Personnel!$G$22</f>
        <v/>
      </c>
      <c r="AQ32" s="133">
        <f>Personnel!$G$22</f>
        <v/>
      </c>
      <c r="AR32" s="133">
        <f>Personnel!$G$22</f>
        <v/>
      </c>
      <c r="AS32" s="133">
        <f>Personnel!$G$22</f>
        <v/>
      </c>
      <c r="AT32" s="133">
        <f>Personnel!$G$22</f>
        <v/>
      </c>
      <c r="AU32" s="133">
        <f>Personnel!$G$22</f>
        <v/>
      </c>
      <c r="AV32" s="133">
        <f>Personnel!$G$22</f>
        <v/>
      </c>
      <c r="AW32" s="133">
        <f>Personnel!$G$22</f>
        <v/>
      </c>
      <c r="AX32" s="133">
        <f>Personnel!$G$22</f>
        <v/>
      </c>
      <c r="AY32" s="133">
        <f>Personnel!$G$22</f>
        <v/>
      </c>
      <c r="AZ32" s="133">
        <f>Personnel!$G$22</f>
        <v/>
      </c>
      <c r="BA32" s="133">
        <f>Personnel!$G$22</f>
        <v/>
      </c>
      <c r="BB32" s="133">
        <f>Personnel!$G$22</f>
        <v/>
      </c>
      <c r="BC32" s="133">
        <f>Personnel!$G$22</f>
        <v/>
      </c>
      <c r="BD32" s="133">
        <f>Personnel!$G$22</f>
        <v/>
      </c>
      <c r="BE32" s="133">
        <f>Personnel!$G$22</f>
        <v/>
      </c>
      <c r="BF32" s="133">
        <f>Personnel!$G$22</f>
        <v/>
      </c>
      <c r="BG32" s="133">
        <f>Personnel!$G$22</f>
        <v/>
      </c>
      <c r="BH32" s="133">
        <f>Personnel!$G$22</f>
        <v/>
      </c>
      <c r="BI32" s="133">
        <f>Personnel!$G$22</f>
        <v/>
      </c>
      <c r="BJ32" s="133">
        <f>Personnel!$G$22</f>
        <v/>
      </c>
      <c r="BK32" s="133">
        <f>Personnel!$G$22</f>
        <v/>
      </c>
      <c r="BL32" s="133">
        <f>Personnel!$G$22</f>
        <v/>
      </c>
      <c r="BM32" s="133">
        <f>Personnel!$G$22</f>
        <v/>
      </c>
      <c r="BN32" s="133">
        <f>Personnel!$G$22</f>
        <v/>
      </c>
      <c r="BO32" s="133">
        <f>Personnel!$G$22</f>
        <v/>
      </c>
      <c r="BP32" s="133">
        <f>Personnel!$G$22</f>
        <v/>
      </c>
      <c r="BQ32" s="133">
        <f>Personnel!$G$22</f>
        <v/>
      </c>
    </row>
    <row r="33">
      <c r="A33" s="38" t="inlineStr">
        <is>
          <t>Blockchain Developer</t>
        </is>
      </c>
      <c r="B33" s="117" t="n">
        <v>0</v>
      </c>
      <c r="C33" s="117" t="n">
        <v>0</v>
      </c>
      <c r="D33" s="117" t="n">
        <v>0</v>
      </c>
      <c r="E33" s="117" t="n">
        <v>0</v>
      </c>
      <c r="F33" s="117" t="n">
        <v>0</v>
      </c>
      <c r="G33" s="117" t="n">
        <v>0</v>
      </c>
      <c r="H33" s="117" t="n">
        <v>0</v>
      </c>
      <c r="I33" s="117" t="n">
        <v>0</v>
      </c>
      <c r="J33" s="117" t="n">
        <v>0</v>
      </c>
      <c r="K33" s="117" t="n">
        <v>0</v>
      </c>
      <c r="L33" s="117" t="n">
        <v>0</v>
      </c>
      <c r="M33" s="117" t="n">
        <v>0</v>
      </c>
      <c r="N33" s="117" t="n">
        <v>0</v>
      </c>
      <c r="O33" s="117" t="n">
        <v>0</v>
      </c>
      <c r="P33" s="117" t="n">
        <v>0</v>
      </c>
      <c r="Q33" s="117" t="n">
        <v>0</v>
      </c>
      <c r="R33" s="117" t="n">
        <v>0</v>
      </c>
      <c r="S33" s="133">
        <f>Personnel!$G$23</f>
        <v/>
      </c>
      <c r="T33" s="133">
        <f>Personnel!$G$23</f>
        <v/>
      </c>
      <c r="U33" s="133">
        <f>Personnel!$G$23</f>
        <v/>
      </c>
      <c r="V33" s="133">
        <f>Personnel!$G$23</f>
        <v/>
      </c>
      <c r="W33" s="133">
        <f>Personnel!$G$23</f>
        <v/>
      </c>
      <c r="X33" s="133">
        <f>Personnel!$G$23</f>
        <v/>
      </c>
      <c r="Y33" s="133">
        <f>Personnel!$G$23</f>
        <v/>
      </c>
      <c r="Z33" s="133">
        <f>Personnel!$G$23</f>
        <v/>
      </c>
      <c r="AA33" s="133">
        <f>Personnel!$G$23</f>
        <v/>
      </c>
      <c r="AB33" s="133">
        <f>Personnel!$G$23</f>
        <v/>
      </c>
      <c r="AC33" s="133">
        <f>Personnel!$G$23</f>
        <v/>
      </c>
      <c r="AD33" s="133">
        <f>Personnel!$G$23</f>
        <v/>
      </c>
      <c r="AE33" s="133">
        <f>Personnel!$G$23</f>
        <v/>
      </c>
      <c r="AF33" s="133">
        <f>Personnel!$G$23</f>
        <v/>
      </c>
      <c r="AG33" s="133">
        <f>Personnel!$G$23</f>
        <v/>
      </c>
      <c r="AH33" s="133">
        <f>Personnel!$G$23</f>
        <v/>
      </c>
      <c r="AI33" s="133">
        <f>Personnel!$G$23</f>
        <v/>
      </c>
      <c r="AJ33" s="133">
        <f>Personnel!$G$23</f>
        <v/>
      </c>
      <c r="AK33" s="133">
        <f>Personnel!$G$23</f>
        <v/>
      </c>
      <c r="AL33" s="133">
        <f>Personnel!$G$23</f>
        <v/>
      </c>
      <c r="AM33" s="133">
        <f>Personnel!$G$23</f>
        <v/>
      </c>
      <c r="AN33" s="133">
        <f>Personnel!$G$23</f>
        <v/>
      </c>
      <c r="AO33" s="133">
        <f>Personnel!$G$23</f>
        <v/>
      </c>
      <c r="AP33" s="133">
        <f>Personnel!$G$23</f>
        <v/>
      </c>
      <c r="AQ33" s="133">
        <f>Personnel!$G$23</f>
        <v/>
      </c>
      <c r="AR33" s="133">
        <f>Personnel!$G$23</f>
        <v/>
      </c>
      <c r="AS33" s="133">
        <f>Personnel!$G$23</f>
        <v/>
      </c>
      <c r="AT33" s="133">
        <f>Personnel!$G$23</f>
        <v/>
      </c>
      <c r="AU33" s="133">
        <f>Personnel!$G$23</f>
        <v/>
      </c>
      <c r="AV33" s="133">
        <f>Personnel!$G$23</f>
        <v/>
      </c>
      <c r="AW33" s="133">
        <f>Personnel!$G$23</f>
        <v/>
      </c>
      <c r="AX33" s="133">
        <f>Personnel!$G$23</f>
        <v/>
      </c>
      <c r="AY33" s="133">
        <f>Personnel!$G$23</f>
        <v/>
      </c>
      <c r="AZ33" s="133">
        <f>Personnel!$G$23</f>
        <v/>
      </c>
      <c r="BA33" s="133">
        <f>Personnel!$G$23</f>
        <v/>
      </c>
      <c r="BB33" s="133">
        <f>Personnel!$G$23</f>
        <v/>
      </c>
      <c r="BC33" s="133">
        <f>Personnel!$G$23</f>
        <v/>
      </c>
      <c r="BD33" s="133">
        <f>Personnel!$G$23</f>
        <v/>
      </c>
      <c r="BE33" s="133">
        <f>Personnel!$G$23</f>
        <v/>
      </c>
      <c r="BF33" s="133">
        <f>Personnel!$G$23</f>
        <v/>
      </c>
      <c r="BG33" s="133">
        <f>Personnel!$G$23</f>
        <v/>
      </c>
      <c r="BH33" s="133">
        <f>Personnel!$G$23</f>
        <v/>
      </c>
      <c r="BI33" s="133">
        <f>Personnel!$G$23</f>
        <v/>
      </c>
      <c r="BJ33" s="133">
        <f>Personnel!$G$23</f>
        <v/>
      </c>
      <c r="BK33" s="133">
        <f>Personnel!$G$23</f>
        <v/>
      </c>
      <c r="BL33" s="133">
        <f>Personnel!$G$23</f>
        <v/>
      </c>
      <c r="BM33" s="133">
        <f>Personnel!$G$23</f>
        <v/>
      </c>
      <c r="BN33" s="133">
        <f>Personnel!$G$23</f>
        <v/>
      </c>
      <c r="BO33" s="133">
        <f>Personnel!$G$23</f>
        <v/>
      </c>
      <c r="BP33" s="133">
        <f>Personnel!$G$23</f>
        <v/>
      </c>
      <c r="BQ33" s="133">
        <f>Personnel!$G$23</f>
        <v/>
      </c>
    </row>
    <row r="34">
      <c r="A34" s="38" t="inlineStr">
        <is>
          <t>Front-end Developer</t>
        </is>
      </c>
      <c r="B34" s="117" t="n">
        <v>0</v>
      </c>
      <c r="C34" s="117" t="n">
        <v>0</v>
      </c>
      <c r="D34" s="117" t="n">
        <v>0</v>
      </c>
      <c r="E34" s="117" t="n">
        <v>0</v>
      </c>
      <c r="F34" s="117" t="n">
        <v>0</v>
      </c>
      <c r="G34" s="117" t="n">
        <v>0</v>
      </c>
      <c r="H34" s="117" t="n">
        <v>0</v>
      </c>
      <c r="I34" s="117" t="n">
        <v>0</v>
      </c>
      <c r="J34" s="117" t="n">
        <v>0</v>
      </c>
      <c r="K34" s="117" t="n">
        <v>0</v>
      </c>
      <c r="L34" s="117" t="n">
        <v>0</v>
      </c>
      <c r="M34" s="117" t="n">
        <v>0</v>
      </c>
      <c r="N34" s="117" t="n">
        <v>0</v>
      </c>
      <c r="O34" s="117" t="n">
        <v>0</v>
      </c>
      <c r="P34" s="117" t="n">
        <v>0</v>
      </c>
      <c r="Q34" s="117" t="n">
        <v>0</v>
      </c>
      <c r="R34" s="117" t="n">
        <v>0</v>
      </c>
      <c r="S34" s="133">
        <f>Personnel!$G$24</f>
        <v/>
      </c>
      <c r="T34" s="133">
        <f>Personnel!$G$24</f>
        <v/>
      </c>
      <c r="U34" s="133">
        <f>Personnel!$G$24</f>
        <v/>
      </c>
      <c r="V34" s="133">
        <f>Personnel!$G$24</f>
        <v/>
      </c>
      <c r="W34" s="133">
        <f>Personnel!$G$24</f>
        <v/>
      </c>
      <c r="X34" s="133">
        <f>Personnel!$G$24</f>
        <v/>
      </c>
      <c r="Y34" s="133">
        <f>Personnel!$G$24</f>
        <v/>
      </c>
      <c r="Z34" s="133">
        <f>Personnel!$G$24</f>
        <v/>
      </c>
      <c r="AA34" s="133">
        <f>Personnel!$G$24</f>
        <v/>
      </c>
      <c r="AB34" s="133">
        <f>Personnel!$G$24</f>
        <v/>
      </c>
      <c r="AC34" s="133">
        <f>Personnel!$G$24</f>
        <v/>
      </c>
      <c r="AD34" s="133">
        <f>Personnel!$G$24</f>
        <v/>
      </c>
      <c r="AE34" s="133">
        <f>Personnel!$G$24</f>
        <v/>
      </c>
      <c r="AF34" s="133">
        <f>Personnel!$G$24</f>
        <v/>
      </c>
      <c r="AG34" s="133">
        <f>Personnel!$G$24</f>
        <v/>
      </c>
      <c r="AH34" s="133">
        <f>Personnel!$G$24</f>
        <v/>
      </c>
      <c r="AI34" s="133">
        <f>Personnel!$G$24</f>
        <v/>
      </c>
      <c r="AJ34" s="133">
        <f>Personnel!$G$24</f>
        <v/>
      </c>
      <c r="AK34" s="133">
        <f>Personnel!$G$24</f>
        <v/>
      </c>
      <c r="AL34" s="133">
        <f>Personnel!$G$24</f>
        <v/>
      </c>
      <c r="AM34" s="133">
        <f>Personnel!$G$24</f>
        <v/>
      </c>
      <c r="AN34" s="133">
        <f>Personnel!$G$24</f>
        <v/>
      </c>
      <c r="AO34" s="133">
        <f>Personnel!$G$24</f>
        <v/>
      </c>
      <c r="AP34" s="133">
        <f>Personnel!$G$24</f>
        <v/>
      </c>
      <c r="AQ34" s="133">
        <f>Personnel!$G$24</f>
        <v/>
      </c>
      <c r="AR34" s="133">
        <f>Personnel!$G$24</f>
        <v/>
      </c>
      <c r="AS34" s="133">
        <f>Personnel!$G$24</f>
        <v/>
      </c>
      <c r="AT34" s="133">
        <f>Personnel!$G$24</f>
        <v/>
      </c>
      <c r="AU34" s="133">
        <f>Personnel!$G$24</f>
        <v/>
      </c>
      <c r="AV34" s="133">
        <f>Personnel!$G$24</f>
        <v/>
      </c>
      <c r="AW34" s="133">
        <f>Personnel!$G$24</f>
        <v/>
      </c>
      <c r="AX34" s="133">
        <f>Personnel!$G$24</f>
        <v/>
      </c>
      <c r="AY34" s="133">
        <f>Personnel!$G$24</f>
        <v/>
      </c>
      <c r="AZ34" s="133">
        <f>Personnel!$G$24</f>
        <v/>
      </c>
      <c r="BA34" s="133">
        <f>Personnel!$G$24</f>
        <v/>
      </c>
      <c r="BB34" s="133">
        <f>Personnel!$G$24</f>
        <v/>
      </c>
      <c r="BC34" s="133">
        <f>Personnel!$G$24</f>
        <v/>
      </c>
      <c r="BD34" s="133">
        <f>Personnel!$G$24</f>
        <v/>
      </c>
      <c r="BE34" s="133">
        <f>Personnel!$G$24</f>
        <v/>
      </c>
      <c r="BF34" s="133">
        <f>Personnel!$G$24</f>
        <v/>
      </c>
      <c r="BG34" s="133">
        <f>Personnel!$G$24</f>
        <v/>
      </c>
      <c r="BH34" s="133">
        <f>Personnel!$G$24</f>
        <v/>
      </c>
      <c r="BI34" s="133">
        <f>Personnel!$G$24</f>
        <v/>
      </c>
      <c r="BJ34" s="133">
        <f>Personnel!$G$24</f>
        <v/>
      </c>
      <c r="BK34" s="133">
        <f>Personnel!$G$24</f>
        <v/>
      </c>
      <c r="BL34" s="133">
        <f>Personnel!$G$24</f>
        <v/>
      </c>
      <c r="BM34" s="133">
        <f>Personnel!$G$24</f>
        <v/>
      </c>
      <c r="BN34" s="133">
        <f>Personnel!$G$24</f>
        <v/>
      </c>
      <c r="BO34" s="133">
        <f>Personnel!$G$24</f>
        <v/>
      </c>
      <c r="BP34" s="133">
        <f>Personnel!$G$24</f>
        <v/>
      </c>
      <c r="BQ34" s="133">
        <f>Personnel!$G$24</f>
        <v/>
      </c>
    </row>
    <row r="35">
      <c r="A35" s="191" t="inlineStr">
        <is>
          <t>Monthly Keepon Accrual Total ($)</t>
        </is>
      </c>
      <c r="B35" s="133">
        <f>sum(B4:B10)</f>
        <v/>
      </c>
      <c r="C35" s="133">
        <f>sum(C4:C10)</f>
        <v/>
      </c>
      <c r="D35" s="133">
        <f>sum(D4:D10)</f>
        <v/>
      </c>
      <c r="E35" s="133">
        <f>sum(E4:E10)</f>
        <v/>
      </c>
      <c r="F35" s="133">
        <f>sum(F4:F10)</f>
        <v/>
      </c>
      <c r="G35" s="133">
        <f>sum(G4:G10)</f>
        <v/>
      </c>
      <c r="H35" s="133">
        <f>sum(H4:H10)</f>
        <v/>
      </c>
      <c r="I35" s="133">
        <f>sum(I4:I10)</f>
        <v/>
      </c>
      <c r="J35" s="133">
        <f>sum(J4:J10)</f>
        <v/>
      </c>
      <c r="K35" s="133">
        <f>sum(K4:K10)</f>
        <v/>
      </c>
      <c r="L35" s="133">
        <f>sum(L4:L10)</f>
        <v/>
      </c>
      <c r="M35" s="133">
        <f>sum(M4:M10)</f>
        <v/>
      </c>
      <c r="N35" s="133">
        <f>sum(N4:N10)</f>
        <v/>
      </c>
      <c r="O35" s="133">
        <f>sum(O4:O10)</f>
        <v/>
      </c>
      <c r="P35" s="133">
        <f>sum(P4:P10)</f>
        <v/>
      </c>
      <c r="Q35" s="133">
        <f>sum(Q4:Q10,Q21:Q34)</f>
        <v/>
      </c>
      <c r="R35" s="133">
        <f>sum(R4:R10,R21:R34)</f>
        <v/>
      </c>
      <c r="S35" s="133">
        <f>sum(S4:S10,S21:S34)</f>
        <v/>
      </c>
      <c r="T35" s="133">
        <f>sum(T4:T10,T21:T34)</f>
        <v/>
      </c>
      <c r="U35" s="133">
        <f>sum(U4:U10,U21:U34)</f>
        <v/>
      </c>
      <c r="V35" s="133">
        <f>sum(V4:V10,V21:V34)</f>
        <v/>
      </c>
      <c r="W35" s="133">
        <f>sum(W4:W10,W21:W34)</f>
        <v/>
      </c>
      <c r="X35" s="133">
        <f>sum(X4:X10,X21:X34)</f>
        <v/>
      </c>
      <c r="Y35" s="133">
        <f>sum(Y4:Y10,Y21:Y34)</f>
        <v/>
      </c>
      <c r="Z35" s="133">
        <f>sum(Z4:Z10,Z21:Z34)</f>
        <v/>
      </c>
      <c r="AA35" s="133">
        <f>sum(AA4:AA10,AA21:AA34)</f>
        <v/>
      </c>
      <c r="AB35" s="133">
        <f>sum(AB4:AB10,AB21:AB34)</f>
        <v/>
      </c>
      <c r="AC35" s="133">
        <f>sum(AC4:AC10,AC21:AC34)</f>
        <v/>
      </c>
      <c r="AD35" s="133">
        <f>sum(AD4:AD10,AD21:AD34)</f>
        <v/>
      </c>
      <c r="AE35" s="133">
        <f>sum(AE4:AE10,AE21:AE34)</f>
        <v/>
      </c>
      <c r="AF35" s="133">
        <f>sum(AF4:AF10,AF21:AF34)</f>
        <v/>
      </c>
      <c r="AG35" s="133">
        <f>sum(AG4:AG10,AG21:AG34)</f>
        <v/>
      </c>
      <c r="AH35" s="133">
        <f>sum(AH4:AH10,AH21:AH34)</f>
        <v/>
      </c>
      <c r="AI35" s="133">
        <f>sum(AI4:AI10,AI21:AI34)</f>
        <v/>
      </c>
      <c r="AJ35" s="133">
        <f>sum(AJ4:AJ10,AJ21:AJ34)</f>
        <v/>
      </c>
      <c r="AK35" s="133">
        <f>sum(AK4:AK10,AK21:AK34)</f>
        <v/>
      </c>
      <c r="AL35" s="133">
        <f>sum(AL4:AL10,AL21:AL34)</f>
        <v/>
      </c>
      <c r="AM35" s="133">
        <f>sum(AM4:AM10,AM21:AM34)</f>
        <v/>
      </c>
      <c r="AN35" s="133">
        <f>sum(AN4:AN10,AN21:AN34)</f>
        <v/>
      </c>
      <c r="AO35" s="133">
        <f>sum(AO4:AO10,AO21:AO34)</f>
        <v/>
      </c>
      <c r="AP35" s="133">
        <f>sum(AP4:AP10,AP21:AP34)</f>
        <v/>
      </c>
      <c r="AQ35" s="133">
        <f>sum(AQ4:AQ10,AQ21:AQ34)</f>
        <v/>
      </c>
      <c r="AR35" s="133">
        <f>sum(AR4:AR10,AR21:AR34)</f>
        <v/>
      </c>
      <c r="AS35" s="133">
        <f>sum(AS4:AS10,AS21:AS34)</f>
        <v/>
      </c>
      <c r="AT35" s="133">
        <f>sum(AT4:AT10,AT21:AT34)</f>
        <v/>
      </c>
      <c r="AU35" s="133">
        <f>sum(AU4:AU10,AU21:AU34)</f>
        <v/>
      </c>
      <c r="AV35" s="133">
        <f>sum(AV4:AV10,AV21:AV34)</f>
        <v/>
      </c>
      <c r="AW35" s="133">
        <f>sum(AW4:AW10,AW21:AW34)</f>
        <v/>
      </c>
      <c r="AX35" s="133">
        <f>sum(AX4:AX10,AX21:AX34)</f>
        <v/>
      </c>
      <c r="AY35" s="133">
        <f>sum(AY4:AY10,AY21:AY34)</f>
        <v/>
      </c>
      <c r="AZ35" s="133">
        <f>sum(AZ4:AZ10,AZ21:AZ34)</f>
        <v/>
      </c>
      <c r="BA35" s="133">
        <f>sum(BA4:BA10,BA21:BA34)</f>
        <v/>
      </c>
      <c r="BB35" s="133">
        <f>sum(BB4:BB10,BB21:BB34)</f>
        <v/>
      </c>
      <c r="BC35" s="133">
        <f>sum(BC4:BC10,BC21:BC34)</f>
        <v/>
      </c>
      <c r="BD35" s="133">
        <f>sum(BD4:BD10,BD21:BD34)</f>
        <v/>
      </c>
      <c r="BE35" s="133">
        <f>sum(BE4:BE10,BE21:BE34)</f>
        <v/>
      </c>
      <c r="BF35" s="133">
        <f>sum(BF4:BF10,BF21:BF34)</f>
        <v/>
      </c>
      <c r="BG35" s="133">
        <f>sum(BG4:BG10,BG21:BG34)</f>
        <v/>
      </c>
      <c r="BH35" s="133">
        <f>sum(BH4:BH10,BH21:BH34)</f>
        <v/>
      </c>
      <c r="BI35" s="133">
        <f>sum(BI4:BI10,BI21:BI34)</f>
        <v/>
      </c>
      <c r="BJ35" s="133">
        <f>sum(BJ4:BJ10,BJ21:BJ34)</f>
        <v/>
      </c>
      <c r="BK35" s="133">
        <f>sum(BK4:BK10,BK21:BK34)</f>
        <v/>
      </c>
      <c r="BL35" s="133">
        <f>sum(BL4:BL10,BL21:BL34)</f>
        <v/>
      </c>
      <c r="BM35" s="133">
        <f>sum(BM4:BM10,BM21:BM34)</f>
        <v/>
      </c>
      <c r="BN35" s="133">
        <f>sum(BN4:BN10,BN21:BN34)</f>
        <v/>
      </c>
      <c r="BO35" s="133">
        <f>sum(BO4:BO10,BO21:BO34)</f>
        <v/>
      </c>
      <c r="BP35" s="133">
        <f>sum(BP4:BP10,BP21:BP34)</f>
        <v/>
      </c>
      <c r="BQ35" s="133">
        <f>sum(BQ4:BQ10,BQ21:BQ34)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128" t="n"/>
      <c r="AA36" s="128" t="n"/>
      <c r="AB36" s="128" t="n"/>
      <c r="AC36" s="128" t="n"/>
      <c r="AD36" s="128" t="n"/>
      <c r="AE36" s="128" t="n"/>
      <c r="AF36" s="128" t="n"/>
      <c r="AG36" s="128" t="n"/>
      <c r="AH36" s="128" t="n"/>
      <c r="AI36" s="128" t="n"/>
      <c r="AJ36" s="128" t="n"/>
      <c r="AK36" s="128" t="n"/>
      <c r="AL36" s="128" t="n"/>
      <c r="AM36" s="128" t="n"/>
      <c r="AN36" s="128" t="n"/>
      <c r="AO36" s="128" t="n"/>
      <c r="AP36" s="128" t="n"/>
      <c r="AQ36" s="128" t="n"/>
      <c r="AR36" s="128" t="n"/>
      <c r="AS36" s="128" t="n"/>
      <c r="AT36" s="128" t="n"/>
      <c r="AU36" s="128" t="n"/>
      <c r="AV36" s="128" t="n"/>
      <c r="AW36" s="128" t="n"/>
      <c r="AX36" s="128" t="n"/>
      <c r="AY36" s="128" t="n"/>
      <c r="AZ36" s="128" t="n"/>
      <c r="BA36" s="128" t="n"/>
      <c r="BB36" s="128" t="n"/>
      <c r="BC36" s="128" t="n"/>
      <c r="BD36" s="128" t="n"/>
      <c r="BE36" s="128" t="n"/>
      <c r="BF36" s="128" t="n"/>
      <c r="BG36" s="128" t="n"/>
      <c r="BH36" s="128" t="n"/>
      <c r="BI36" s="128" t="n"/>
      <c r="BJ36" s="128" t="n"/>
      <c r="BK36" s="128" t="n"/>
      <c r="BL36" s="128" t="n"/>
      <c r="BM36" s="128" t="n"/>
      <c r="BN36" s="128" t="n"/>
      <c r="BO36" s="128" t="n"/>
      <c r="BP36" s="128" t="n"/>
      <c r="BQ36" s="128" t="n"/>
      <c r="BR36" s="128" t="n"/>
    </row>
    <row r="37">
      <c r="A37" s="191" t="inlineStr">
        <is>
          <t>Token Transfer Tax Revenue Share</t>
        </is>
      </c>
      <c r="C37" s="205" t="n"/>
    </row>
    <row r="38">
      <c r="A38" s="117" t="inlineStr">
        <is>
          <t>Co-founder Monthly RevShare (oz)</t>
        </is>
      </c>
      <c r="V38" s="159">
        <f>('Token Demand (5yr)'!N22*RevShare!$B$11)/4</f>
        <v/>
      </c>
      <c r="W38" s="159">
        <f>('Token Demand (5yr)'!O22*RevShare!$B$11)/4</f>
        <v/>
      </c>
      <c r="X38" s="159">
        <f>('Token Demand (5yr)'!P22*RevShare!$B$11)/4</f>
        <v/>
      </c>
      <c r="Y38" s="159">
        <f>('Token Demand (5yr)'!Q22*RevShare!$B$11)/4</f>
        <v/>
      </c>
      <c r="Z38" s="159">
        <f>('Token Demand (5yr)'!R22*RevShare!$B$11)/4</f>
        <v/>
      </c>
      <c r="AA38" s="159">
        <f>('Token Demand (5yr)'!S22*RevShare!$B$11)/4</f>
        <v/>
      </c>
      <c r="AB38" s="159">
        <f>('Token Demand (5yr)'!T22*RevShare!$B$11)/4</f>
        <v/>
      </c>
      <c r="AC38" s="159">
        <f>('Token Demand (5yr)'!U22*RevShare!$B$11)/4</f>
        <v/>
      </c>
      <c r="AD38" s="159">
        <f>('Token Demand (5yr)'!V22*RevShare!$B$11)/4</f>
        <v/>
      </c>
      <c r="AE38" s="159">
        <f>('Token Demand (5yr)'!W22*RevShare!$B$11)/4</f>
        <v/>
      </c>
      <c r="AF38" s="159">
        <f>('Token Demand (5yr)'!X22*RevShare!$B$11)/4</f>
        <v/>
      </c>
      <c r="AG38" s="159">
        <f>('Token Demand (5yr)'!Y22*RevShare!$B$11)/4</f>
        <v/>
      </c>
      <c r="AH38" s="159">
        <f>('Token Demand (5yr)'!Z22*RevShare!$B$11)/4</f>
        <v/>
      </c>
      <c r="AI38" s="159">
        <f>('Token Demand (5yr)'!AA22*RevShare!$B$11)/4</f>
        <v/>
      </c>
      <c r="AJ38" s="159">
        <f>('Token Demand (5yr)'!AB22*RevShare!$B$11)/4</f>
        <v/>
      </c>
      <c r="AK38" s="159">
        <f>('Token Demand (5yr)'!AC22*RevShare!$B$11)/4</f>
        <v/>
      </c>
      <c r="AL38" s="159">
        <f>('Token Demand (5yr)'!AD22*RevShare!$B$11)/4</f>
        <v/>
      </c>
      <c r="AM38" s="159">
        <f>('Token Demand (5yr)'!AE22*RevShare!$B$11)/4</f>
        <v/>
      </c>
      <c r="AN38" s="159">
        <f>('Token Demand (5yr)'!AF22*RevShare!$B$11)/4</f>
        <v/>
      </c>
      <c r="AO38" s="159">
        <f>('Token Demand (5yr)'!AG22*RevShare!$B$11)/4</f>
        <v/>
      </c>
      <c r="AP38" s="159">
        <f>('Token Demand (5yr)'!AH22*RevShare!$B$11)/4</f>
        <v/>
      </c>
      <c r="AQ38" s="159">
        <f>('Token Demand (5yr)'!AI22*RevShare!$B$11)/4</f>
        <v/>
      </c>
      <c r="AR38" s="159">
        <f>('Token Demand (5yr)'!AJ22*RevShare!$B$11)/4</f>
        <v/>
      </c>
      <c r="AS38" s="159">
        <f>('Token Demand (5yr)'!AK22*RevShare!$B$11)/4</f>
        <v/>
      </c>
      <c r="AT38" s="159">
        <f>('Token Demand (5yr)'!AL22*RevShare!$B$11)/4</f>
        <v/>
      </c>
      <c r="AU38" s="159">
        <f>('Token Demand (5yr)'!AM22*RevShare!$B$11)/4</f>
        <v/>
      </c>
      <c r="AV38" s="159">
        <f>('Token Demand (5yr)'!AN22*RevShare!$B$11)/4</f>
        <v/>
      </c>
      <c r="AW38" s="159">
        <f>('Token Demand (5yr)'!AO22*RevShare!$B$11)/4</f>
        <v/>
      </c>
      <c r="AX38" s="159">
        <f>('Token Demand (5yr)'!AP22*RevShare!$B$11)/4</f>
        <v/>
      </c>
      <c r="AY38" s="159">
        <f>('Token Demand (5yr)'!AQ22*RevShare!$B$11)/4</f>
        <v/>
      </c>
      <c r="AZ38" s="159">
        <f>('Token Demand (5yr)'!AR22*RevShare!$B$11)/4</f>
        <v/>
      </c>
      <c r="BA38" s="159">
        <f>('Token Demand (5yr)'!AS22*RevShare!$B$11)/4</f>
        <v/>
      </c>
      <c r="BB38" s="159">
        <f>('Token Demand (5yr)'!AT22*RevShare!$B$11)/4</f>
        <v/>
      </c>
      <c r="BC38" s="159">
        <f>('Token Demand (5yr)'!AU22*RevShare!$B$11)/4</f>
        <v/>
      </c>
      <c r="BD38" s="159">
        <f>('Token Demand (5yr)'!AV22*RevShare!$B$11)/4</f>
        <v/>
      </c>
      <c r="BE38" s="159">
        <f>('Token Demand (5yr)'!AW22*RevShare!$B$11)/4</f>
        <v/>
      </c>
      <c r="BF38" s="159">
        <f>('Token Demand (5yr)'!AX22*RevShare!$B$11)/4</f>
        <v/>
      </c>
      <c r="BG38" s="159">
        <f>('Token Demand (5yr)'!AY22*RevShare!$B$11)/4</f>
        <v/>
      </c>
      <c r="BH38" s="159">
        <f>('Token Demand (5yr)'!AZ22*RevShare!$B$11)/4</f>
        <v/>
      </c>
      <c r="BI38" s="159">
        <f>('Token Demand (5yr)'!BA22*RevShare!$B$11)/4</f>
        <v/>
      </c>
      <c r="BJ38" s="159">
        <f>('Token Demand (5yr)'!BB22*RevShare!$B$11)/4</f>
        <v/>
      </c>
      <c r="BK38" s="159">
        <f>('Token Demand (5yr)'!BC22*RevShare!$B$11)/4</f>
        <v/>
      </c>
      <c r="BL38" s="159">
        <f>('Token Demand (5yr)'!BD22*RevShare!$B$11)/4</f>
        <v/>
      </c>
      <c r="BM38" s="159">
        <f>('Token Demand (5yr)'!BE22*RevShare!$B$11)/4</f>
        <v/>
      </c>
      <c r="BN38" s="159">
        <f>('Token Demand (5yr)'!BF22*RevShare!$B$11)/4</f>
        <v/>
      </c>
      <c r="BO38" s="159">
        <f>('Token Demand (5yr)'!BG22*RevShare!$B$11)/4</f>
        <v/>
      </c>
      <c r="BP38" s="159">
        <f>('Token Demand (5yr)'!BH22*RevShare!$B$11)/4</f>
        <v/>
      </c>
      <c r="BQ38" s="159">
        <f>('Token Demand (5yr)'!BI22*RevShare!$B$11)/4</f>
        <v/>
      </c>
    </row>
    <row r="39">
      <c r="A39" s="117" t="inlineStr">
        <is>
          <t>Co-founder Monthly RevShare ($)</t>
        </is>
      </c>
      <c r="V39" s="274">
        <f>V38*V2</f>
        <v/>
      </c>
      <c r="W39" s="274">
        <f>W38*W2</f>
        <v/>
      </c>
      <c r="X39" s="274">
        <f>X38*X2</f>
        <v/>
      </c>
      <c r="Y39" s="274">
        <f>Y38*Y2</f>
        <v/>
      </c>
      <c r="Z39" s="274">
        <f>Z38*Z2</f>
        <v/>
      </c>
      <c r="AA39" s="274">
        <f>AA38*AA2</f>
        <v/>
      </c>
      <c r="AB39" s="274">
        <f>AB38*AB2</f>
        <v/>
      </c>
      <c r="AC39" s="274">
        <f>AC38*AC2</f>
        <v/>
      </c>
      <c r="AD39" s="274">
        <f>AD38*AD2</f>
        <v/>
      </c>
      <c r="AE39" s="274">
        <f>AE38*AE2</f>
        <v/>
      </c>
      <c r="AF39" s="274">
        <f>AF38*AF2</f>
        <v/>
      </c>
      <c r="AG39" s="274">
        <f>AG38*AG2</f>
        <v/>
      </c>
      <c r="AH39" s="274">
        <f>AH38*AH2</f>
        <v/>
      </c>
      <c r="AI39" s="274">
        <f>AI38*AI2</f>
        <v/>
      </c>
      <c r="AJ39" s="274">
        <f>AJ38*AJ2</f>
        <v/>
      </c>
      <c r="AK39" s="274">
        <f>AK38*AK2</f>
        <v/>
      </c>
      <c r="AL39" s="274">
        <f>AL38*AL2</f>
        <v/>
      </c>
      <c r="AM39" s="274">
        <f>AM38*AM2</f>
        <v/>
      </c>
      <c r="AN39" s="274">
        <f>AN38*AN2</f>
        <v/>
      </c>
      <c r="AO39" s="274">
        <f>AO38*AO2</f>
        <v/>
      </c>
      <c r="AP39" s="274">
        <f>AP38*AP2</f>
        <v/>
      </c>
      <c r="AQ39" s="274">
        <f>AQ38*AQ2</f>
        <v/>
      </c>
      <c r="AR39" s="274">
        <f>AR38*AR2</f>
        <v/>
      </c>
      <c r="AS39" s="274">
        <f>AS38*AS2</f>
        <v/>
      </c>
      <c r="AT39" s="274">
        <f>AT38*AT2</f>
        <v/>
      </c>
      <c r="AU39" s="274">
        <f>AU38*AU2</f>
        <v/>
      </c>
      <c r="AV39" s="274">
        <f>AV38*AV2</f>
        <v/>
      </c>
      <c r="AW39" s="274">
        <f>AW38*AW2</f>
        <v/>
      </c>
      <c r="AX39" s="274">
        <f>AX38*AX2</f>
        <v/>
      </c>
      <c r="AY39" s="274">
        <f>AY38*AY2</f>
        <v/>
      </c>
      <c r="AZ39" s="274">
        <f>AZ38*AZ2</f>
        <v/>
      </c>
      <c r="BA39" s="274">
        <f>BA38*BA2</f>
        <v/>
      </c>
      <c r="BB39" s="274">
        <f>BB38*BB2</f>
        <v/>
      </c>
      <c r="BC39" s="274">
        <f>BC38*BC2</f>
        <v/>
      </c>
      <c r="BD39" s="274">
        <f>BD38*BD2</f>
        <v/>
      </c>
      <c r="BE39" s="274">
        <f>BE38*BE2</f>
        <v/>
      </c>
      <c r="BF39" s="274">
        <f>BF38*BF2</f>
        <v/>
      </c>
      <c r="BG39" s="274">
        <f>BG38*BG2</f>
        <v/>
      </c>
      <c r="BH39" s="274">
        <f>BH38*BH2</f>
        <v/>
      </c>
      <c r="BI39" s="274">
        <f>BI38*BI2</f>
        <v/>
      </c>
      <c r="BJ39" s="274">
        <f>BJ38*BJ2</f>
        <v/>
      </c>
      <c r="BK39" s="274">
        <f>BK38*BK2</f>
        <v/>
      </c>
      <c r="BL39" s="274">
        <f>BL38*BL2</f>
        <v/>
      </c>
      <c r="BM39" s="274">
        <f>BM38*BM2</f>
        <v/>
      </c>
      <c r="BN39" s="274">
        <f>BN38*BN2</f>
        <v/>
      </c>
      <c r="BO39" s="274">
        <f>BO38*BO2</f>
        <v/>
      </c>
      <c r="BP39" s="274">
        <f>BP38*BP2</f>
        <v/>
      </c>
      <c r="BQ39" s="274">
        <f>BQ38*BQ2</f>
        <v/>
      </c>
    </row>
    <row r="40">
      <c r="A40" s="117" t="inlineStr">
        <is>
          <t>Employee Monthly Revshare Pool (oz)</t>
        </is>
      </c>
      <c r="V40" s="159">
        <f>'Token Demand (5yr)'!N22*RevShare!$B$12</f>
        <v/>
      </c>
      <c r="W40" s="159">
        <f>'Token Demand (5yr)'!O22*RevShare!$B$12</f>
        <v/>
      </c>
      <c r="X40" s="159">
        <f>'Token Demand (5yr)'!P22*RevShare!$B$12</f>
        <v/>
      </c>
      <c r="Y40" s="159">
        <f>'Token Demand (5yr)'!Q22*RevShare!$B$12</f>
        <v/>
      </c>
      <c r="Z40" s="159">
        <f>'Token Demand (5yr)'!R22*RevShare!$B$12</f>
        <v/>
      </c>
      <c r="AA40" s="159">
        <f>'Token Demand (5yr)'!S22*RevShare!$B$12</f>
        <v/>
      </c>
      <c r="AB40" s="159">
        <f>'Token Demand (5yr)'!T22*RevShare!$B$12</f>
        <v/>
      </c>
      <c r="AC40" s="159">
        <f>'Token Demand (5yr)'!U22*RevShare!$B$12</f>
        <v/>
      </c>
      <c r="AD40" s="159">
        <f>'Token Demand (5yr)'!V22*RevShare!$B$12</f>
        <v/>
      </c>
      <c r="AE40" s="159">
        <f>'Token Demand (5yr)'!W22*RevShare!$B$12</f>
        <v/>
      </c>
      <c r="AF40" s="159">
        <f>'Token Demand (5yr)'!X22*RevShare!$B$12</f>
        <v/>
      </c>
      <c r="AG40" s="159">
        <f>'Token Demand (5yr)'!Y22*RevShare!$B$12</f>
        <v/>
      </c>
      <c r="AH40" s="159">
        <f>'Token Demand (5yr)'!Z22*RevShare!$B$12</f>
        <v/>
      </c>
      <c r="AI40" s="159">
        <f>'Token Demand (5yr)'!AA22*RevShare!$B$12</f>
        <v/>
      </c>
      <c r="AJ40" s="159">
        <f>'Token Demand (5yr)'!AB22*RevShare!$B$12</f>
        <v/>
      </c>
      <c r="AK40" s="159">
        <f>'Token Demand (5yr)'!AC22*RevShare!$B$12</f>
        <v/>
      </c>
      <c r="AL40" s="159">
        <f>'Token Demand (5yr)'!AD22*RevShare!$B$12</f>
        <v/>
      </c>
      <c r="AM40" s="159">
        <f>'Token Demand (5yr)'!AE22*RevShare!$B$12</f>
        <v/>
      </c>
      <c r="AN40" s="159">
        <f>'Token Demand (5yr)'!AF22*RevShare!$B$12</f>
        <v/>
      </c>
      <c r="AO40" s="159">
        <f>'Token Demand (5yr)'!AG22*RevShare!$B$12</f>
        <v/>
      </c>
      <c r="AP40" s="159">
        <f>'Token Demand (5yr)'!AH22*RevShare!$B$12</f>
        <v/>
      </c>
      <c r="AQ40" s="159">
        <f>'Token Demand (5yr)'!AI22*RevShare!$B$12</f>
        <v/>
      </c>
      <c r="AR40" s="159">
        <f>'Token Demand (5yr)'!AJ22*RevShare!$B$12</f>
        <v/>
      </c>
      <c r="AS40" s="159">
        <f>'Token Demand (5yr)'!AK22*RevShare!$B$12</f>
        <v/>
      </c>
      <c r="AT40" s="159">
        <f>'Token Demand (5yr)'!AL22*RevShare!$B$12</f>
        <v/>
      </c>
      <c r="AU40" s="159">
        <f>'Token Demand (5yr)'!AM22*RevShare!$B$12</f>
        <v/>
      </c>
      <c r="AV40" s="159">
        <f>'Token Demand (5yr)'!AN22*RevShare!$B$12</f>
        <v/>
      </c>
      <c r="AW40" s="159">
        <f>'Token Demand (5yr)'!AO22*RevShare!$B$12</f>
        <v/>
      </c>
      <c r="AX40" s="159">
        <f>'Token Demand (5yr)'!AP22*RevShare!$B$12</f>
        <v/>
      </c>
      <c r="AY40" s="159">
        <f>'Token Demand (5yr)'!AQ22*RevShare!$B$12</f>
        <v/>
      </c>
      <c r="AZ40" s="159">
        <f>'Token Demand (5yr)'!AR22*RevShare!$B$12</f>
        <v/>
      </c>
      <c r="BA40" s="159">
        <f>'Token Demand (5yr)'!AS22*RevShare!$B$12</f>
        <v/>
      </c>
      <c r="BB40" s="159">
        <f>'Token Demand (5yr)'!AT22*RevShare!$B$12</f>
        <v/>
      </c>
      <c r="BC40" s="159">
        <f>'Token Demand (5yr)'!AU22*RevShare!$B$12</f>
        <v/>
      </c>
      <c r="BD40" s="159">
        <f>'Token Demand (5yr)'!AV22*RevShare!$B$12</f>
        <v/>
      </c>
      <c r="BE40" s="159">
        <f>'Token Demand (5yr)'!AW22*RevShare!$B$12</f>
        <v/>
      </c>
      <c r="BF40" s="159">
        <f>'Token Demand (5yr)'!AX22*RevShare!$B$12</f>
        <v/>
      </c>
      <c r="BG40" s="159">
        <f>'Token Demand (5yr)'!AY22*RevShare!$B$12</f>
        <v/>
      </c>
      <c r="BH40" s="159">
        <f>'Token Demand (5yr)'!AZ22*RevShare!$B$12</f>
        <v/>
      </c>
      <c r="BI40" s="159">
        <f>'Token Demand (5yr)'!BA22*RevShare!$B$12</f>
        <v/>
      </c>
      <c r="BJ40" s="159">
        <f>'Token Demand (5yr)'!BB22*RevShare!$B$12</f>
        <v/>
      </c>
      <c r="BK40" s="159">
        <f>'Token Demand (5yr)'!BC22*RevShare!$B$12</f>
        <v/>
      </c>
      <c r="BL40" s="159">
        <f>'Token Demand (5yr)'!BD22*RevShare!$B$12</f>
        <v/>
      </c>
      <c r="BM40" s="159">
        <f>'Token Demand (5yr)'!BE22*RevShare!$B$12</f>
        <v/>
      </c>
      <c r="BN40" s="159">
        <f>'Token Demand (5yr)'!BF22*RevShare!$B$12</f>
        <v/>
      </c>
      <c r="BO40" s="159">
        <f>'Token Demand (5yr)'!BG22*RevShare!$B$12</f>
        <v/>
      </c>
      <c r="BP40" s="159">
        <f>'Token Demand (5yr)'!BH22*RevShare!$B$12</f>
        <v/>
      </c>
      <c r="BQ40" s="159">
        <f>'Token Demand (5yr)'!BI22*RevShare!$B$12</f>
        <v/>
      </c>
    </row>
    <row r="41">
      <c r="A41" s="117" t="inlineStr">
        <is>
          <t>Employee Monthly Revshare Pool ($)</t>
        </is>
      </c>
      <c r="V41" s="274">
        <f>V40*V2</f>
        <v/>
      </c>
      <c r="W41" s="274">
        <f>W40*W2</f>
        <v/>
      </c>
      <c r="X41" s="274">
        <f>X40*X2</f>
        <v/>
      </c>
      <c r="Y41" s="274">
        <f>Y40*Y2</f>
        <v/>
      </c>
      <c r="Z41" s="274">
        <f>Z40*Z2</f>
        <v/>
      </c>
      <c r="AA41" s="274">
        <f>AA40*AA2</f>
        <v/>
      </c>
      <c r="AB41" s="274">
        <f>AB40*AB2</f>
        <v/>
      </c>
      <c r="AC41" s="274">
        <f>AC40*AC2</f>
        <v/>
      </c>
      <c r="AD41" s="274">
        <f>AD40*AD2</f>
        <v/>
      </c>
      <c r="AE41" s="274">
        <f>AE40*AE2</f>
        <v/>
      </c>
      <c r="AF41" s="274">
        <f>AF40*AF2</f>
        <v/>
      </c>
      <c r="AG41" s="274">
        <f>AG40*AG2</f>
        <v/>
      </c>
      <c r="AH41" s="274">
        <f>AH40*AH2</f>
        <v/>
      </c>
      <c r="AI41" s="274">
        <f>AI40*AI2</f>
        <v/>
      </c>
      <c r="AJ41" s="274">
        <f>AJ40*AJ2</f>
        <v/>
      </c>
      <c r="AK41" s="274">
        <f>AK40*AK2</f>
        <v/>
      </c>
      <c r="AL41" s="274">
        <f>AL40*AL2</f>
        <v/>
      </c>
      <c r="AM41" s="274">
        <f>AM40*AM2</f>
        <v/>
      </c>
      <c r="AN41" s="274">
        <f>AN40*AN2</f>
        <v/>
      </c>
      <c r="AO41" s="274">
        <f>AO40*AO2</f>
        <v/>
      </c>
      <c r="AP41" s="274">
        <f>AP40*AP2</f>
        <v/>
      </c>
      <c r="AQ41" s="274">
        <f>AQ40*AQ2</f>
        <v/>
      </c>
      <c r="AR41" s="274">
        <f>AR40*AR2</f>
        <v/>
      </c>
      <c r="AS41" s="274">
        <f>AS40*AS2</f>
        <v/>
      </c>
      <c r="AT41" s="274">
        <f>AT40*AT2</f>
        <v/>
      </c>
      <c r="AU41" s="274">
        <f>AU40*AU2</f>
        <v/>
      </c>
      <c r="AV41" s="274">
        <f>AV40*AV2</f>
        <v/>
      </c>
      <c r="AW41" s="274">
        <f>AW40*AW2</f>
        <v/>
      </c>
      <c r="AX41" s="274">
        <f>AX40*AX2</f>
        <v/>
      </c>
      <c r="AY41" s="274">
        <f>AY40*AY2</f>
        <v/>
      </c>
      <c r="AZ41" s="274">
        <f>AZ40*AZ2</f>
        <v/>
      </c>
      <c r="BA41" s="274">
        <f>BA40*BA2</f>
        <v/>
      </c>
      <c r="BB41" s="274">
        <f>BB40*BB2</f>
        <v/>
      </c>
      <c r="BC41" s="274">
        <f>BC40*BC2</f>
        <v/>
      </c>
      <c r="BD41" s="274">
        <f>BD40*BD2</f>
        <v/>
      </c>
      <c r="BE41" s="274">
        <f>BE40*BE2</f>
        <v/>
      </c>
      <c r="BF41" s="274">
        <f>BF40*BF2</f>
        <v/>
      </c>
      <c r="BG41" s="274">
        <f>BG40*BG2</f>
        <v/>
      </c>
      <c r="BH41" s="274">
        <f>BH40*BH2</f>
        <v/>
      </c>
      <c r="BI41" s="274">
        <f>BI40*BI2</f>
        <v/>
      </c>
      <c r="BJ41" s="274">
        <f>BJ40*BJ2</f>
        <v/>
      </c>
      <c r="BK41" s="274">
        <f>BK40*BK2</f>
        <v/>
      </c>
      <c r="BL41" s="274">
        <f>BL40*BL2</f>
        <v/>
      </c>
      <c r="BM41" s="274">
        <f>BM40*BM2</f>
        <v/>
      </c>
      <c r="BN41" s="274">
        <f>BN40*BN2</f>
        <v/>
      </c>
      <c r="BO41" s="274">
        <f>BO40*BO2</f>
        <v/>
      </c>
      <c r="BP41" s="274">
        <f>BP40*BP2</f>
        <v/>
      </c>
      <c r="BQ41" s="274">
        <f>BQ40*BQ2</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L43"/>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323" min="1" max="1"/>
    <col width="15.88" customWidth="1" style="323" min="2" max="2"/>
    <col width="18.88" customWidth="1" style="323" min="3" max="3"/>
    <col width="15" customWidth="1" style="323" min="4" max="4"/>
    <col width="15.5" customWidth="1" style="323" min="5" max="5"/>
    <col width="12.5" customWidth="1" style="323" min="6" max="6"/>
    <col width="15.5" customWidth="1" style="323" min="7" max="7"/>
    <col width="17" customWidth="1" style="323" min="8" max="8"/>
    <col width="17.88" customWidth="1" style="323" min="9" max="9"/>
    <col width="19.13" customWidth="1" style="323" min="10" max="10"/>
  </cols>
  <sheetData>
    <row r="1">
      <c r="A1" s="230" t="n"/>
      <c r="B1" s="231" t="inlineStr">
        <is>
          <t>Investment Date</t>
        </is>
      </c>
      <c r="C1" s="231" t="inlineStr">
        <is>
          <t>Investment Tranches</t>
        </is>
      </c>
      <c r="D1" s="231" t="inlineStr">
        <is>
          <t>Gold Price (avg)</t>
        </is>
      </c>
      <c r="E1" s="231" t="inlineStr">
        <is>
          <t>Gold Amount (oz)</t>
        </is>
      </c>
      <c r="F1" s="231" t="inlineStr">
        <is>
          <t>Months Held</t>
        </is>
      </c>
      <c r="G1" s="231" t="inlineStr">
        <is>
          <t>Total Discount</t>
        </is>
      </c>
      <c r="H1" s="231" t="inlineStr">
        <is>
          <t>Debt Accrual (oz)</t>
        </is>
      </c>
      <c r="I1" s="231" t="inlineStr">
        <is>
          <t>IRR (with Gold ARR)</t>
        </is>
      </c>
      <c r="J1" s="231" t="inlineStr">
        <is>
          <t>Cash on Cash Return</t>
        </is>
      </c>
      <c r="K1" s="232" t="inlineStr">
        <is>
          <t>Annual ROI</t>
        </is>
      </c>
    </row>
    <row r="2">
      <c r="A2" s="59" t="inlineStr">
        <is>
          <t>Art's Initial Investment</t>
        </is>
      </c>
      <c r="B2" s="233" t="n">
        <v>45658</v>
      </c>
      <c r="C2" s="107" t="n">
        <v>50000</v>
      </c>
      <c r="D2" s="296" t="n">
        <v>2709.69</v>
      </c>
      <c r="E2" s="235">
        <f>C2/D2</f>
        <v/>
      </c>
      <c r="F2" s="242" t="n">
        <v>48</v>
      </c>
      <c r="G2" s="236">
        <f>C20+(C21*F2)</f>
        <v/>
      </c>
      <c r="H2" s="235">
        <f>C2/(E29*(1-G2))</f>
        <v/>
      </c>
      <c r="I2" s="237">
        <f>H2*E30</f>
        <v/>
      </c>
      <c r="J2" s="238">
        <f>(I2/C2)-100%</f>
        <v/>
      </c>
      <c r="K2" s="239">
        <f>J2/(F2/12)</f>
        <v/>
      </c>
    </row>
    <row r="3">
      <c r="A3" s="59" t="inlineStr">
        <is>
          <t>Raj's First Check</t>
        </is>
      </c>
      <c r="B3" s="240" t="n">
        <v>45867</v>
      </c>
      <c r="C3" s="107" t="n">
        <v>15000</v>
      </c>
      <c r="D3" s="296" t="n">
        <v>3338.31</v>
      </c>
      <c r="E3" s="235">
        <f>C3/D3</f>
        <v/>
      </c>
      <c r="F3" s="242" t="n">
        <v>48</v>
      </c>
      <c r="G3" s="236">
        <f>C20+(C21*F3)</f>
        <v/>
      </c>
      <c r="H3" s="235">
        <f>C3/(E29*(1-G3))</f>
        <v/>
      </c>
      <c r="I3" s="237">
        <f>H3*E30</f>
        <v/>
      </c>
      <c r="J3" s="238">
        <f>(I3/C3)-100%</f>
        <v/>
      </c>
      <c r="K3" s="239">
        <f>J3/(F3/12)</f>
        <v/>
      </c>
    </row>
    <row r="4">
      <c r="A4" s="59" t="inlineStr">
        <is>
          <t>Nancy Giordani 1st Check</t>
        </is>
      </c>
      <c r="B4" s="240" t="n">
        <v>45869</v>
      </c>
      <c r="C4" s="107" t="n">
        <v>5000</v>
      </c>
      <c r="D4" s="296" t="n">
        <v>3338.31</v>
      </c>
      <c r="E4" s="235">
        <f>C4/Inputs!B10</f>
        <v/>
      </c>
      <c r="F4" s="242" t="n">
        <v>48</v>
      </c>
      <c r="G4" s="236">
        <f>C20+(C21*F4)</f>
        <v/>
      </c>
      <c r="H4" s="235">
        <f>C4/(E29*(1-G4))</f>
        <v/>
      </c>
      <c r="I4" s="237">
        <f>H4*E30</f>
        <v/>
      </c>
      <c r="J4" s="238">
        <f>(I4/C4)-100%</f>
        <v/>
      </c>
      <c r="K4" s="239">
        <f>J4/(F4/12)</f>
        <v/>
      </c>
    </row>
    <row r="5">
      <c r="A5" s="59" t="inlineStr">
        <is>
          <t>Nancey Giordani 2nd Check</t>
        </is>
      </c>
      <c r="B5" s="240" t="n">
        <v>45895</v>
      </c>
      <c r="C5" s="107" t="n">
        <v>5000</v>
      </c>
      <c r="D5" s="241" t="n"/>
      <c r="E5" s="235">
        <f>C5/Inputs!B10</f>
        <v/>
      </c>
      <c r="F5" s="242" t="n">
        <v>48</v>
      </c>
      <c r="G5" s="236">
        <f>C20+(C21*F5)</f>
        <v/>
      </c>
      <c r="H5" s="235">
        <f>C5/(E29*(1-G5))</f>
        <v/>
      </c>
      <c r="I5" s="237">
        <f>H5*E30</f>
        <v/>
      </c>
      <c r="J5" s="238">
        <f>(I5/C5)-100%</f>
        <v/>
      </c>
      <c r="K5" s="239">
        <f>J5/(F5/12)</f>
        <v/>
      </c>
    </row>
    <row r="6">
      <c r="A6" s="59" t="inlineStr">
        <is>
          <t>Raj's Second Check</t>
        </is>
      </c>
      <c r="B6" s="240" t="n">
        <v>45903</v>
      </c>
      <c r="C6" s="107" t="n">
        <v>20000</v>
      </c>
      <c r="D6" s="241" t="n"/>
      <c r="E6" s="235">
        <f>C6/Inputs!B10</f>
        <v/>
      </c>
      <c r="F6" s="242" t="n">
        <v>48</v>
      </c>
      <c r="G6" s="236">
        <f>C20+(C21*F6)</f>
        <v/>
      </c>
      <c r="H6" s="235">
        <f>C6/(E29*(1-G6))</f>
        <v/>
      </c>
      <c r="I6" s="237">
        <f>H6*E30</f>
        <v/>
      </c>
      <c r="J6" s="238">
        <f>(I6/C6)-100%</f>
        <v/>
      </c>
      <c r="K6" s="239">
        <f>J6/(F6/12)</f>
        <v/>
      </c>
    </row>
    <row r="7">
      <c r="A7" s="59" t="inlineStr">
        <is>
          <t>Eric Harris-Braun</t>
        </is>
      </c>
      <c r="B7" s="242" t="n"/>
      <c r="C7" s="107" t="n">
        <v>15000</v>
      </c>
      <c r="D7" s="241" t="n"/>
      <c r="E7" s="235">
        <f>C7/Inputs!$B$10</f>
        <v/>
      </c>
      <c r="F7" s="242" t="n">
        <v>48</v>
      </c>
      <c r="G7" s="236">
        <f>C20+(C21*F7)</f>
        <v/>
      </c>
      <c r="H7" s="235">
        <f>C7/(E29*(1-G7))</f>
        <v/>
      </c>
      <c r="I7" s="237">
        <f>H7*E30</f>
        <v/>
      </c>
      <c r="J7" s="238">
        <f>(I7/C7)-100%</f>
        <v/>
      </c>
      <c r="K7" s="239">
        <f>J7/(F7/12)</f>
        <v/>
      </c>
    </row>
    <row r="8">
      <c r="A8" s="59" t="inlineStr">
        <is>
          <t>Raj's 3rd check</t>
        </is>
      </c>
      <c r="B8" s="242" t="n"/>
      <c r="C8" s="107" t="n">
        <v>15000</v>
      </c>
      <c r="D8" s="241" t="n"/>
      <c r="E8" s="235">
        <f>C8/Inputs!$B$10</f>
        <v/>
      </c>
      <c r="F8" s="242" t="n">
        <v>48</v>
      </c>
      <c r="G8" s="236">
        <f>C20+(C21*F7)</f>
        <v/>
      </c>
      <c r="H8" s="235">
        <f>C8/(E29*(1-G8))</f>
        <v/>
      </c>
      <c r="I8" s="237">
        <f>H8*E30</f>
        <v/>
      </c>
      <c r="J8" s="238">
        <f>(I8/C8)-100%</f>
        <v/>
      </c>
      <c r="K8" s="239">
        <f>J8/(F8/12)</f>
        <v/>
      </c>
    </row>
    <row r="9">
      <c r="A9" s="59" t="inlineStr">
        <is>
          <t>tbd</t>
        </is>
      </c>
      <c r="B9" s="242" t="n"/>
      <c r="C9" s="107" t="n">
        <v>25000</v>
      </c>
      <c r="D9" s="241" t="n"/>
      <c r="E9" s="235">
        <f>C9/Inputs!B10</f>
        <v/>
      </c>
      <c r="F9" s="242" t="n">
        <v>48</v>
      </c>
      <c r="G9" s="236">
        <f>C20+(C21*F9)</f>
        <v/>
      </c>
      <c r="H9" s="235">
        <f>C9/(E29*(1-G9))</f>
        <v/>
      </c>
      <c r="I9" s="237">
        <f>H9*E30</f>
        <v/>
      </c>
      <c r="J9" s="238">
        <f>(I9/C9)-100%</f>
        <v/>
      </c>
      <c r="K9" s="239">
        <f>J9/(F9/12)</f>
        <v/>
      </c>
    </row>
    <row r="10">
      <c r="A10" s="59" t="inlineStr">
        <is>
          <t>tbd</t>
        </is>
      </c>
      <c r="B10" s="242" t="n"/>
      <c r="C10" s="107" t="n">
        <v>100000</v>
      </c>
      <c r="D10" s="241" t="n"/>
      <c r="E10" s="235">
        <f>C10/Inputs!B10</f>
        <v/>
      </c>
      <c r="F10" s="242" t="n">
        <v>48</v>
      </c>
      <c r="G10" s="236">
        <f>C20+(C21*F10)</f>
        <v/>
      </c>
      <c r="H10" s="235">
        <f>C10/(E29*(1-G10))</f>
        <v/>
      </c>
      <c r="I10" s="237">
        <f>H10*E30</f>
        <v/>
      </c>
      <c r="J10" s="238">
        <f>(I10/C10)-100%</f>
        <v/>
      </c>
      <c r="K10" s="239">
        <f>J10/(F10/12)</f>
        <v/>
      </c>
    </row>
    <row r="11">
      <c r="A11" s="59" t="inlineStr">
        <is>
          <t>tbd</t>
        </is>
      </c>
      <c r="B11" s="242" t="n"/>
      <c r="C11" s="107" t="n">
        <v>250000</v>
      </c>
      <c r="D11" s="241" t="n"/>
      <c r="E11" s="235">
        <f>C11/Inputs!B10</f>
        <v/>
      </c>
      <c r="F11" s="242" t="n">
        <v>48</v>
      </c>
      <c r="G11" s="236">
        <f>C20+(C21*F11)</f>
        <v/>
      </c>
      <c r="H11" s="235">
        <f>C11/(E29*(1-G11))</f>
        <v/>
      </c>
      <c r="I11" s="237">
        <f>H11*E30</f>
        <v/>
      </c>
      <c r="J11" s="238">
        <f>(I11/C11)-100%</f>
        <v/>
      </c>
      <c r="K11" s="239">
        <f>J11/(F11/12)</f>
        <v/>
      </c>
    </row>
    <row r="12">
      <c r="A12" s="59" t="inlineStr">
        <is>
          <t>tbd</t>
        </is>
      </c>
      <c r="B12" s="242" t="n"/>
      <c r="C12" s="107" t="n">
        <v>500000</v>
      </c>
      <c r="D12" s="241" t="n"/>
      <c r="E12" s="235">
        <f>C12/Inputs!B10</f>
        <v/>
      </c>
      <c r="F12" s="242" t="n">
        <v>48</v>
      </c>
      <c r="G12" s="236">
        <f>C20+(C21*F12)</f>
        <v/>
      </c>
      <c r="H12" s="235">
        <f>C12/(E29*(1-G12))</f>
        <v/>
      </c>
      <c r="I12" s="237">
        <f>H12*E30</f>
        <v/>
      </c>
      <c r="J12" s="238">
        <f>(I12/C12)-100%</f>
        <v/>
      </c>
      <c r="K12" s="239">
        <f>J12/(F12/12)</f>
        <v/>
      </c>
    </row>
    <row r="13">
      <c r="A13" s="59" t="inlineStr">
        <is>
          <t>tbd</t>
        </is>
      </c>
      <c r="B13" s="242" t="n"/>
      <c r="C13" s="107" t="n">
        <v>500000</v>
      </c>
      <c r="D13" s="241" t="n"/>
      <c r="E13" s="235">
        <f>C13/Inputs!B10</f>
        <v/>
      </c>
      <c r="F13" s="242" t="n">
        <v>48</v>
      </c>
      <c r="G13" s="236">
        <f>C20+(C21*F13)</f>
        <v/>
      </c>
      <c r="H13" s="235">
        <f>C13/(E29*(1-G13))</f>
        <v/>
      </c>
      <c r="I13" s="237">
        <f>H13*E30</f>
        <v/>
      </c>
      <c r="J13" s="238">
        <f>(I13/C13)-100%</f>
        <v/>
      </c>
      <c r="K13" s="239">
        <f>J13/(F13/12)</f>
        <v/>
      </c>
    </row>
    <row r="14">
      <c r="A14" s="243" t="inlineStr">
        <is>
          <t>Investment Total</t>
        </is>
      </c>
      <c r="B14" s="244" t="n"/>
      <c r="C14" s="248">
        <f>sum(C2:C13)</f>
        <v/>
      </c>
      <c r="D14" s="246" t="n"/>
      <c r="E14" s="247">
        <f>sum(E12:E13)</f>
        <v/>
      </c>
      <c r="F14" s="246" t="n"/>
      <c r="G14" s="246" t="n"/>
      <c r="H14" s="247">
        <f>sum(H2:H13)</f>
        <v/>
      </c>
      <c r="I14" s="248">
        <f>sum(I2:I13)</f>
        <v/>
      </c>
      <c r="J14" s="244" t="n"/>
      <c r="K14" s="249" t="n"/>
    </row>
    <row r="16">
      <c r="A16" s="256" t="n"/>
      <c r="B16" s="256" t="n"/>
      <c r="C16" s="256" t="n"/>
      <c r="E16" s="256" t="n"/>
      <c r="F16" s="256" t="n"/>
      <c r="G16" s="256" t="n"/>
    </row>
    <row r="17">
      <c r="A17" s="191" t="inlineStr">
        <is>
          <t>Keepon Investment Offering</t>
        </is>
      </c>
      <c r="B17" s="191" t="n"/>
      <c r="C17" s="191" t="inlineStr">
        <is>
          <t>Variables</t>
        </is>
      </c>
      <c r="D17" s="191" t="n"/>
      <c r="E17" s="191" t="inlineStr">
        <is>
          <t>Months Held</t>
        </is>
      </c>
      <c r="F17" s="191" t="inlineStr">
        <is>
          <t>Total Discount</t>
        </is>
      </c>
      <c r="G17" s="191" t="inlineStr">
        <is>
          <t>Debt Accrual (oz)</t>
        </is>
      </c>
      <c r="H17" s="191" t="inlineStr">
        <is>
          <t>Debt Accrual($)</t>
        </is>
      </c>
      <c r="I17" s="191" t="inlineStr">
        <is>
          <t>ROI (with gold AAR)</t>
        </is>
      </c>
      <c r="J17" s="191" t="inlineStr">
        <is>
          <t>Projected ROI</t>
        </is>
      </c>
      <c r="K17" s="191" t="inlineStr">
        <is>
          <t>Annual ROI</t>
        </is>
      </c>
      <c r="L17" s="117" t="inlineStr">
        <is>
          <t>IRR (Internal Rate of Return)</t>
        </is>
      </c>
    </row>
    <row r="18">
      <c r="A18" s="117" t="inlineStr">
        <is>
          <t>Total Target Capital Raise</t>
        </is>
      </c>
      <c r="B18" s="117" t="n"/>
      <c r="C18" s="107" t="n">
        <v>1500000</v>
      </c>
      <c r="D18" s="250" t="n"/>
      <c r="E18" s="65" t="n">
        <v>12</v>
      </c>
      <c r="F18" s="251">
        <f>C20+(E18*C21)</f>
        <v/>
      </c>
      <c r="G18" s="87">
        <f>H18/Inputs!B9</f>
        <v/>
      </c>
      <c r="H18" s="133">
        <f>(C18*F18)+C18</f>
        <v/>
      </c>
      <c r="I18" s="133">
        <f>(H18*C23)+H18</f>
        <v/>
      </c>
      <c r="J18" s="250">
        <f>(I18/C18)</f>
        <v/>
      </c>
      <c r="K18" s="250">
        <f>J18/1</f>
        <v/>
      </c>
    </row>
    <row r="19">
      <c r="A19" s="117" t="inlineStr">
        <is>
          <t>Amount in OZ</t>
        </is>
      </c>
      <c r="B19" s="117" t="n"/>
      <c r="C19" s="235">
        <f>C18/Inputs!B9</f>
        <v/>
      </c>
      <c r="D19" s="250" t="n"/>
      <c r="E19" s="65" t="n">
        <v>24</v>
      </c>
      <c r="F19" s="251">
        <f>C20+(E19*C21)</f>
        <v/>
      </c>
      <c r="G19" s="159">
        <f>H19/Inputs!B9</f>
        <v/>
      </c>
      <c r="H19" s="133">
        <f>(C18*F19)+C18</f>
        <v/>
      </c>
      <c r="I19" s="133">
        <f>((H19*2)*C23)+H19</f>
        <v/>
      </c>
      <c r="J19" s="250">
        <f>(I19/C18)</f>
        <v/>
      </c>
      <c r="K19" s="250">
        <f>J19/2</f>
        <v/>
      </c>
    </row>
    <row r="20">
      <c r="A20" s="117" t="inlineStr">
        <is>
          <t>Initial Bonus</t>
        </is>
      </c>
      <c r="B20" s="117" t="n"/>
      <c r="C20" s="103" t="n">
        <v>0.1</v>
      </c>
      <c r="D20" s="250" t="n"/>
      <c r="E20" s="65" t="n">
        <v>36</v>
      </c>
      <c r="F20" s="251">
        <f>C20+(E20*C21)</f>
        <v/>
      </c>
      <c r="G20" s="159">
        <f>H20/Inputs!B9</f>
        <v/>
      </c>
      <c r="H20" s="133">
        <f>(C18*F20)+C18</f>
        <v/>
      </c>
      <c r="I20" s="133">
        <f>((H20*3)*C23)+H20</f>
        <v/>
      </c>
      <c r="J20" s="250">
        <f>(I20/C18)</f>
        <v/>
      </c>
      <c r="K20" s="250">
        <f>J20/3</f>
        <v/>
      </c>
    </row>
    <row r="21">
      <c r="A21" s="117" t="inlineStr">
        <is>
          <t>Per Month Keep Reward</t>
        </is>
      </c>
      <c r="B21" s="117" t="n"/>
      <c r="C21" s="241" t="n">
        <v>0.01</v>
      </c>
      <c r="D21" s="250" t="n"/>
      <c r="E21" s="65" t="n">
        <v>48</v>
      </c>
      <c r="F21" s="251">
        <f>C20+(E21*C21)</f>
        <v/>
      </c>
      <c r="G21" s="159">
        <f>H21/Inputs!B9</f>
        <v/>
      </c>
      <c r="H21" s="133">
        <f>(C18*F21)+C18</f>
        <v/>
      </c>
      <c r="I21" s="133">
        <f>((H21*4)*C23)+H21</f>
        <v/>
      </c>
      <c r="J21" s="250">
        <f>(I21/C18)</f>
        <v/>
      </c>
      <c r="K21" s="250">
        <f>J21/4</f>
        <v/>
      </c>
    </row>
    <row r="22">
      <c r="A22" s="117" t="inlineStr">
        <is>
          <t>Minimum Hold (months)</t>
        </is>
      </c>
      <c r="B22" s="117" t="n"/>
      <c r="C22" s="242" t="n">
        <v>12</v>
      </c>
      <c r="D22" s="250" t="n"/>
      <c r="E22" s="65" t="n">
        <v>60</v>
      </c>
      <c r="F22" s="251">
        <f>C20+(E22*C21)</f>
        <v/>
      </c>
      <c r="G22" s="159">
        <f>H22/Inputs!B9</f>
        <v/>
      </c>
      <c r="H22" s="133">
        <f>(C18*F22)+C18</f>
        <v/>
      </c>
      <c r="I22" s="133">
        <f>((H22*5)*C23)+H22</f>
        <v/>
      </c>
      <c r="J22" s="250">
        <f>(I22/C18)</f>
        <v/>
      </c>
      <c r="K22" s="250">
        <f>J22/5</f>
        <v/>
      </c>
    </row>
    <row r="23">
      <c r="A23" s="117" t="inlineStr">
        <is>
          <t>Gold's Average Annual Return</t>
        </is>
      </c>
      <c r="B23" s="117" t="n"/>
      <c r="C23" s="241" t="n">
        <v>0.078</v>
      </c>
    </row>
    <row r="26">
      <c r="A26" s="191" t="inlineStr">
        <is>
          <t>Initial Bonus</t>
        </is>
      </c>
      <c r="B26" s="191" t="n"/>
      <c r="C26" s="191" t="n"/>
      <c r="E26" s="103" t="n">
        <v>0.1</v>
      </c>
      <c r="F26" s="256" t="n"/>
      <c r="G26" s="256" t="n"/>
    </row>
    <row r="27">
      <c r="A27" s="191" t="inlineStr">
        <is>
          <t>Per Month Keep Reward</t>
        </is>
      </c>
      <c r="B27" s="191" t="n"/>
      <c r="C27" s="191" t="n"/>
      <c r="E27" s="241" t="n">
        <v>0.01</v>
      </c>
    </row>
    <row r="28">
      <c r="A28" s="191" t="inlineStr">
        <is>
          <t>Gold's Average Annual Return</t>
        </is>
      </c>
      <c r="B28" s="191" t="n"/>
      <c r="C28" s="191" t="n"/>
      <c r="E28" s="241" t="n">
        <v>0.078</v>
      </c>
    </row>
    <row r="29">
      <c r="A29" s="191" t="inlineStr">
        <is>
          <t>Gold Spot Price</t>
        </is>
      </c>
      <c r="B29" s="191" t="n"/>
      <c r="C29" s="191" t="n"/>
      <c r="E29" s="252">
        <f>Inputs!B10</f>
        <v/>
      </c>
    </row>
    <row r="30">
      <c r="A30" s="191" t="inlineStr">
        <is>
          <t>Gold's Price in 48 months</t>
        </is>
      </c>
      <c r="B30" s="191" t="n"/>
      <c r="C30" s="191" t="n"/>
      <c r="E30" s="253">
        <f>E29*(1+E28)^(48/12)</f>
        <v/>
      </c>
    </row>
    <row r="31">
      <c r="A31" s="254" t="n"/>
      <c r="B31" s="254" t="n"/>
      <c r="C31" s="256" t="n"/>
      <c r="E31" s="256" t="n"/>
      <c r="F31" s="256" t="n"/>
      <c r="G31" s="256" t="n"/>
    </row>
    <row r="32">
      <c r="A32" s="255" t="n"/>
      <c r="B32" s="255" t="n"/>
      <c r="C32" s="256" t="n"/>
      <c r="E32" s="256" t="n"/>
      <c r="F32" s="256" t="n"/>
      <c r="G32" s="256" t="n"/>
    </row>
    <row r="33">
      <c r="A33" s="256" t="n"/>
      <c r="B33" s="256" t="n"/>
      <c r="C33" s="61" t="n"/>
      <c r="E33" s="256" t="n"/>
      <c r="F33" s="256" t="n"/>
      <c r="G33" s="256" t="n"/>
    </row>
    <row r="34">
      <c r="A34" s="256" t="n"/>
      <c r="B34" s="256" t="n"/>
      <c r="C34" s="64" t="n"/>
      <c r="E34" s="256" t="n"/>
      <c r="F34" s="65" t="n"/>
      <c r="G34" s="66" t="n"/>
    </row>
    <row r="35">
      <c r="A35" s="256" t="n"/>
      <c r="B35" s="256" t="n"/>
      <c r="C35" s="67" t="n"/>
      <c r="E35" s="256" t="n"/>
      <c r="F35" s="65" t="n"/>
      <c r="G35" s="66" t="n"/>
    </row>
    <row r="36">
      <c r="A36" s="256" t="inlineStr">
        <is>
          <t>pdf of cashflow summary</t>
        </is>
      </c>
      <c r="B36" s="256" t="n"/>
      <c r="C36" s="256" t="n"/>
      <c r="E36" s="256" t="n"/>
      <c r="F36" s="65" t="n"/>
      <c r="G36" s="66" t="n"/>
    </row>
    <row r="37">
      <c r="A37" s="256" t="inlineStr">
        <is>
          <t>pdf of charts</t>
        </is>
      </c>
      <c r="B37" s="256" t="n"/>
      <c r="C37" s="256" t="n"/>
      <c r="E37" s="256" t="n"/>
      <c r="F37" s="65" t="n"/>
      <c r="G37" s="66" t="n"/>
    </row>
    <row r="38">
      <c r="A38" s="256" t="inlineStr">
        <is>
          <t>screenshot of schedule of mines coming online</t>
        </is>
      </c>
      <c r="B38" s="256" t="n"/>
      <c r="C38" s="256" t="n"/>
      <c r="E38" s="256" t="n"/>
      <c r="F38" s="65" t="n"/>
      <c r="G38" s="66" t="n"/>
    </row>
    <row r="39">
      <c r="A39" s="256" t="inlineStr">
        <is>
          <t>return schedule for investment</t>
        </is>
      </c>
      <c r="B39" s="256" t="n"/>
      <c r="C39" s="256" t="n"/>
      <c r="E39" s="256" t="n"/>
      <c r="F39" s="256" t="n"/>
      <c r="G39" s="256" t="n"/>
    </row>
    <row r="40">
      <c r="C40" s="256" t="n"/>
      <c r="E40" s="256" t="n"/>
      <c r="F40" s="256" t="n"/>
      <c r="G40" s="256" t="n"/>
    </row>
    <row r="41">
      <c r="A41" s="254" t="n"/>
      <c r="B41" s="254" t="n"/>
      <c r="C41" s="256" t="n"/>
      <c r="E41" s="256" t="n"/>
      <c r="F41" s="256" t="n"/>
      <c r="G41" s="256" t="n"/>
    </row>
    <row r="42">
      <c r="A42" s="256" t="inlineStr">
        <is>
          <t>do a simplified sensitivity analysis</t>
        </is>
      </c>
      <c r="B42" s="256" t="n"/>
      <c r="C42" s="256" t="n"/>
      <c r="E42" s="256" t="n"/>
      <c r="F42" s="256" t="n"/>
      <c r="G42" s="256" t="n"/>
    </row>
    <row r="43">
      <c r="A43" s="257" t="n"/>
      <c r="B43" s="257" t="n"/>
      <c r="C43" s="256" t="n"/>
      <c r="E43" s="256" t="n"/>
      <c r="F43" s="256" t="n"/>
      <c r="G43" s="256" t="n"/>
    </row>
  </sheetData>
  <printOptions horizontalCentered="1" gridLines="1"/>
  <pageMargins left="0.7" right="0.7" top="0.75" bottom="0.75" header="0" footer="0"/>
  <pageSetup orientation="landscape" pageOrder="overThenDown" cellComments="atEnd"/>
  <rowBreaks count="2" manualBreakCount="2">
    <brk id="16" min="0" max="16383" man="1"/>
    <brk id="24" min="0" max="16383" man="1"/>
  </rowBreaks>
  <colBreaks count="3" manualBreakCount="3">
    <brk id="0" min="0" max="16383" man="1"/>
    <brk id="11" min="0" max="16383" man="1"/>
    <brk id="13" min="0" max="16383" man="1"/>
  </colBreaks>
</worksheet>
</file>

<file path=xl/worksheets/sheet15.xml><?xml version="1.0" encoding="utf-8"?>
<worksheet xmlns="http://schemas.openxmlformats.org/spreadsheetml/2006/main">
  <sheetPr>
    <outlinePr summaryBelow="0" summaryRight="0"/>
    <pageSetUpPr/>
  </sheetPr>
  <dimension ref="A1:K32"/>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323" min="1" max="1"/>
    <col width="10.88" customWidth="1" style="323" min="2" max="2"/>
    <col width="13.63" customWidth="1" style="323" min="3" max="3"/>
    <col width="15.75" customWidth="1" style="323" min="4" max="4"/>
    <col width="10.13" customWidth="1" style="323" min="5" max="5"/>
    <col width="13.75" customWidth="1" style="323" min="6" max="6"/>
    <col width="14.75" customWidth="1" style="323" min="7" max="7"/>
    <col width="15.25" customWidth="1" style="323" min="8" max="8"/>
    <col width="16.38" customWidth="1" style="323" min="9" max="9"/>
    <col width="14.5" customWidth="1" style="323" min="10" max="10"/>
    <col width="14.13" customWidth="1" style="323" min="11" max="11"/>
  </cols>
  <sheetData>
    <row r="1">
      <c r="A1" s="3" t="inlineStr">
        <is>
          <t>Investor Return Schedule</t>
        </is>
      </c>
      <c r="B1" s="258" t="inlineStr">
        <is>
          <t>Date</t>
        </is>
      </c>
      <c r="C1" s="51" t="inlineStr">
        <is>
          <t>Investment</t>
        </is>
      </c>
      <c r="D1" s="51" t="inlineStr">
        <is>
          <t>Gold Amount (oz)</t>
        </is>
      </c>
      <c r="E1" s="51" t="inlineStr">
        <is>
          <t>Term (mo)</t>
        </is>
      </c>
      <c r="F1" s="51" t="inlineStr">
        <is>
          <t>Total Discount</t>
        </is>
      </c>
      <c r="G1" s="51" t="inlineStr">
        <is>
          <t>Total Return (oz)</t>
        </is>
      </c>
      <c r="H1" s="51" t="inlineStr">
        <is>
          <t>Total Return* ($)</t>
        </is>
      </c>
      <c r="I1" s="51" t="inlineStr">
        <is>
          <t>IRR (Annualized)*</t>
        </is>
      </c>
      <c r="J1" s="51" t="inlineStr">
        <is>
          <t>Equity Multiple*</t>
        </is>
      </c>
      <c r="K1" s="119" t="inlineStr">
        <is>
          <t>Cash on Cash*</t>
        </is>
      </c>
    </row>
    <row r="2">
      <c r="A2" s="38" t="inlineStr">
        <is>
          <t>Tranche 1</t>
        </is>
      </c>
      <c r="B2" s="117" t="inlineStr">
        <is>
          <t>Sep '27</t>
        </is>
      </c>
      <c r="C2" s="133" t="n">
        <v>250000</v>
      </c>
      <c r="D2" s="159">
        <f>C2/Inputs!B10</f>
        <v/>
      </c>
      <c r="E2" s="117" t="n">
        <v>60</v>
      </c>
      <c r="F2" s="251">
        <f>B8+(B9*E2)</f>
        <v/>
      </c>
      <c r="G2" s="159">
        <f>C2/(B11*(1-F2))</f>
        <v/>
      </c>
      <c r="H2" s="133">
        <f>G2*B12</f>
        <v/>
      </c>
      <c r="I2" s="250">
        <f>IRR({-C2, 0, 0, 0, 0, H2})
</f>
        <v/>
      </c>
      <c r="J2" s="259">
        <f>H2/C2</f>
        <v/>
      </c>
      <c r="K2" s="265">
        <f>(H2/C2)-100%</f>
        <v/>
      </c>
    </row>
    <row r="3">
      <c r="A3" s="38" t="inlineStr">
        <is>
          <t>Tranche 2</t>
        </is>
      </c>
      <c r="B3" s="117" t="inlineStr">
        <is>
          <t>Nov '27</t>
        </is>
      </c>
      <c r="C3" s="133" t="n">
        <v>250000</v>
      </c>
      <c r="D3" s="159">
        <f>C3/Inputs!B10</f>
        <v/>
      </c>
      <c r="E3" s="117" t="n">
        <v>60</v>
      </c>
      <c r="F3" s="251">
        <f>B8+(B9*E3)</f>
        <v/>
      </c>
      <c r="G3" s="117">
        <f>C3/(B11*(1-F3))</f>
        <v/>
      </c>
      <c r="H3" s="133">
        <f>G3*B12</f>
        <v/>
      </c>
      <c r="I3" s="250">
        <f>IRR({-C3, 0, 0, 0, 0, H3})
</f>
        <v/>
      </c>
      <c r="J3" s="259">
        <f>H3/C3</f>
        <v/>
      </c>
      <c r="K3" s="265">
        <f>(H3/C3)-100%</f>
        <v/>
      </c>
    </row>
    <row r="4">
      <c r="A4" s="38" t="inlineStr">
        <is>
          <t>Tranche 3</t>
        </is>
      </c>
      <c r="B4" s="117" t="inlineStr">
        <is>
          <t>Dec '27</t>
        </is>
      </c>
      <c r="C4" s="133" t="n">
        <v>1000000</v>
      </c>
      <c r="D4" s="159">
        <f>C4/Inputs!B10</f>
        <v/>
      </c>
      <c r="E4" s="117" t="n">
        <v>60</v>
      </c>
      <c r="F4" s="251">
        <f>B8+(B9*E4)</f>
        <v/>
      </c>
      <c r="G4" s="117">
        <f>C4/(B11*(1-F4))</f>
        <v/>
      </c>
      <c r="H4" s="133">
        <f>G4*B12</f>
        <v/>
      </c>
      <c r="I4" s="250">
        <f>IRR({-C4, 0, 0, 0, 0, H4})
</f>
        <v/>
      </c>
      <c r="J4" s="259">
        <f>H4/C4</f>
        <v/>
      </c>
      <c r="K4" s="265">
        <f>(H4/C4)-100%</f>
        <v/>
      </c>
    </row>
    <row r="5">
      <c r="A5" s="108" t="inlineStr">
        <is>
          <t>Total Investment</t>
        </is>
      </c>
      <c r="B5" s="112" t="n"/>
      <c r="C5" s="261">
        <f>sum(C2:C4)</f>
        <v/>
      </c>
      <c r="D5" s="113">
        <f>sum(D2:D4)</f>
        <v/>
      </c>
      <c r="E5" s="112" t="n"/>
      <c r="F5" s="112" t="n"/>
      <c r="G5" s="113">
        <f>sum(G2:G4)</f>
        <v/>
      </c>
      <c r="H5" s="261">
        <f>sum(H2:H4)</f>
        <v/>
      </c>
      <c r="I5" s="112" t="n"/>
      <c r="J5" s="112" t="n"/>
      <c r="K5" s="262" t="n"/>
    </row>
    <row r="6">
      <c r="H6" s="117" t="inlineStr">
        <is>
          <t>*Assumes Gold ARR of 7.80% over 60 months</t>
        </is>
      </c>
    </row>
    <row r="7">
      <c r="A7" s="36" t="inlineStr">
        <is>
          <t>Inputs</t>
        </is>
      </c>
      <c r="B7" s="119" t="n"/>
      <c r="C7" s="263" t="n"/>
      <c r="D7" s="191" t="n"/>
      <c r="E7" s="191" t="n"/>
      <c r="F7" s="191" t="n"/>
      <c r="G7" s="191" t="n"/>
      <c r="H7" s="191" t="n"/>
      <c r="I7" s="191" t="n"/>
      <c r="K7" s="191" t="n"/>
    </row>
    <row r="8">
      <c r="A8" s="38" t="inlineStr">
        <is>
          <t>Initial Bonus</t>
        </is>
      </c>
      <c r="B8" s="264" t="n">
        <v>0.1</v>
      </c>
      <c r="D8" s="191" t="n"/>
      <c r="E8" s="191" t="n"/>
      <c r="F8" s="191" t="n"/>
      <c r="G8" s="191" t="n"/>
      <c r="H8" s="191" t="n"/>
      <c r="I8" s="191" t="n"/>
      <c r="K8" s="191" t="n"/>
    </row>
    <row r="9">
      <c r="A9" s="38" t="inlineStr">
        <is>
          <t>Per Month Keep Reward</t>
        </is>
      </c>
      <c r="B9" s="265" t="n">
        <v>0.01</v>
      </c>
      <c r="D9" s="133" t="n"/>
      <c r="E9" s="65" t="n"/>
      <c r="F9" s="251" t="n"/>
      <c r="G9" s="87" t="n"/>
      <c r="I9" s="250" t="n"/>
      <c r="K9" s="250" t="n"/>
    </row>
    <row r="10">
      <c r="A10" s="38" t="inlineStr">
        <is>
          <t>Gold's Average Annual Return</t>
        </is>
      </c>
      <c r="B10" s="265">
        <f>Inputs!B14</f>
        <v/>
      </c>
      <c r="D10" s="159" t="n"/>
      <c r="E10" s="65" t="n"/>
      <c r="F10" s="251" t="n"/>
      <c r="G10" s="159" t="n"/>
      <c r="I10" s="250" t="n"/>
      <c r="K10" s="250" t="n"/>
    </row>
    <row r="11">
      <c r="A11" s="38" t="inlineStr">
        <is>
          <t>Gold Current Spot Price</t>
        </is>
      </c>
      <c r="B11" s="266">
        <f>Inputs!B10</f>
        <v/>
      </c>
      <c r="D11" s="198" t="n"/>
      <c r="E11" s="65" t="n"/>
      <c r="F11" s="251" t="n"/>
      <c r="G11" s="159" t="n"/>
      <c r="I11" s="250" t="n"/>
      <c r="K11" s="250" t="n"/>
    </row>
    <row r="12">
      <c r="A12" s="45" t="inlineStr">
        <is>
          <t>Gold's Projected Price (5yr)</t>
        </is>
      </c>
      <c r="B12" s="267">
        <f>B11*(1+B10)^(60/12)</f>
        <v/>
      </c>
    </row>
    <row r="15">
      <c r="E15" s="65" t="n"/>
      <c r="F15" s="251" t="n"/>
      <c r="G15" s="159" t="n"/>
      <c r="I15" s="250" t="n"/>
      <c r="K15" s="250" t="n"/>
    </row>
    <row r="17">
      <c r="D17" s="256" t="n"/>
      <c r="E17" s="256" t="n"/>
      <c r="F17" s="256" t="n"/>
      <c r="G17" s="256" t="n"/>
    </row>
    <row r="18">
      <c r="D18" s="256" t="n"/>
      <c r="E18" s="256" t="n"/>
      <c r="F18" s="256" t="n"/>
      <c r="G18" s="256" t="n"/>
    </row>
    <row r="19">
      <c r="C19" s="255" t="n"/>
      <c r="D19" s="256" t="n"/>
      <c r="E19" s="256" t="n"/>
      <c r="F19" s="256" t="n"/>
      <c r="G19" s="256" t="n"/>
    </row>
    <row r="20">
      <c r="C20" s="256" t="n"/>
      <c r="D20" s="61" t="n"/>
      <c r="E20" s="256" t="n"/>
      <c r="F20" s="256" t="n"/>
      <c r="G20" s="256" t="n"/>
    </row>
    <row r="21">
      <c r="C21" s="256" t="n"/>
      <c r="D21" s="64" t="n"/>
      <c r="E21" s="256" t="n"/>
      <c r="F21" s="65" t="n"/>
      <c r="G21" s="66" t="n"/>
    </row>
    <row r="22">
      <c r="C22" s="256" t="n"/>
      <c r="D22" s="67" t="n"/>
      <c r="E22" s="256" t="n"/>
      <c r="F22" s="65" t="n"/>
      <c r="G22" s="66" t="n"/>
    </row>
    <row r="23">
      <c r="C23" s="256" t="n"/>
      <c r="D23" s="256" t="n"/>
      <c r="E23" s="256" t="n"/>
      <c r="F23" s="65" t="n"/>
      <c r="G23" s="66" t="n"/>
    </row>
    <row r="24">
      <c r="C24" s="256" t="n"/>
      <c r="D24" s="256" t="n"/>
      <c r="E24" s="256" t="n"/>
      <c r="F24" s="65" t="n"/>
      <c r="G24" s="66" t="n"/>
    </row>
    <row r="25">
      <c r="C25" s="256" t="n"/>
      <c r="D25" s="256" t="n"/>
      <c r="E25" s="256" t="n"/>
      <c r="F25" s="65" t="n"/>
      <c r="G25" s="66" t="n"/>
    </row>
    <row r="26">
      <c r="C26" s="256" t="n"/>
      <c r="D26" s="256" t="n"/>
      <c r="E26" s="256" t="n"/>
      <c r="F26" s="256" t="n"/>
      <c r="G26" s="256" t="n"/>
    </row>
    <row r="27">
      <c r="D27" s="256" t="n"/>
      <c r="E27" s="256" t="n"/>
      <c r="F27" s="256" t="n"/>
      <c r="G27" s="256" t="n"/>
    </row>
    <row r="28">
      <c r="C28" s="256" t="n"/>
      <c r="D28" s="256" t="n"/>
      <c r="E28" s="256" t="n"/>
      <c r="F28" s="256" t="n"/>
      <c r="G28" s="256" t="n"/>
    </row>
    <row r="29">
      <c r="C29" s="254" t="n"/>
      <c r="D29" s="256" t="n"/>
      <c r="E29" s="256" t="n"/>
      <c r="F29" s="256" t="n"/>
      <c r="G29" s="256" t="n"/>
    </row>
    <row r="30">
      <c r="C30" s="256" t="n"/>
      <c r="D30" s="256" t="n"/>
      <c r="E30" s="256" t="n"/>
      <c r="F30" s="256" t="n"/>
      <c r="G30" s="256" t="n"/>
    </row>
    <row r="31">
      <c r="C31" s="257" t="n"/>
      <c r="D31" s="256" t="n"/>
      <c r="E31" s="256" t="n"/>
      <c r="F31" s="256" t="n"/>
      <c r="G31" s="256" t="n"/>
    </row>
    <row r="32">
      <c r="C32" s="257" t="n"/>
      <c r="D32" s="256" t="n"/>
      <c r="E32" s="256" t="n"/>
      <c r="F32" s="256" t="n"/>
      <c r="G32" s="256" t="n"/>
    </row>
  </sheetData>
  <printOptions horizontalCentered="1" verticalCentered="1" gridLines="1"/>
  <pageMargins left="0.25" right="0.25" top="0.75" bottom="0.75" header="0" footer="0"/>
  <pageSetup orientation="landscape" pageOrder="overThenDown"/>
  <headerFooter>
    <oddHeader>&amp;L&amp;F&amp;R&amp;A</oddHeader>
    <oddFooter/>
    <evenHeader/>
    <evenFooter/>
    <firstHeader/>
    <firstFooter/>
  </headerFooter>
  <colBreaks count="2" manualBreakCount="2">
    <brk id="0" min="0" max="16383" man="1"/>
    <brk id="11" min="0" max="16383" man="1"/>
  </colBreaks>
</worksheet>
</file>

<file path=xl/worksheets/sheet1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75" customHeight="1"/>
  <cols>
    <col width="34.13" customWidth="1" style="323" min="1" max="1"/>
  </cols>
  <sheetData>
    <row r="1">
      <c r="A1" s="117" t="inlineStr">
        <is>
          <t>Revenue Sharing</t>
        </is>
      </c>
    </row>
    <row r="2">
      <c r="A2" s="36" t="inlineStr">
        <is>
          <t>RealGold Token Transfer Tax Revenue</t>
        </is>
      </c>
      <c r="B2" s="268" t="n"/>
    </row>
    <row r="3">
      <c r="A3" s="38" t="inlineStr">
        <is>
          <t>Monthly Token Transfer Volume</t>
        </is>
      </c>
      <c r="B3" s="269" t="n">
        <v>30000000</v>
      </c>
    </row>
    <row r="4">
      <c r="A4" s="38" t="inlineStr">
        <is>
          <t>Monthly Token Transfer Tax Revenue</t>
        </is>
      </c>
      <c r="B4" s="135">
        <f>B3*Inputs!B29</f>
        <v/>
      </c>
    </row>
    <row r="5">
      <c r="A5" s="38" t="inlineStr">
        <is>
          <t>Yearly Trading Volume</t>
        </is>
      </c>
      <c r="B5" s="135">
        <f>B3*12</f>
        <v/>
      </c>
    </row>
    <row r="6">
      <c r="A6" s="45" t="inlineStr">
        <is>
          <t>Yearly Token Tax Revenue</t>
        </is>
      </c>
      <c r="B6" s="177">
        <f>B4*12</f>
        <v/>
      </c>
    </row>
    <row r="8">
      <c r="A8" s="36" t="inlineStr">
        <is>
          <t>RealGold Token Tax Revenue Share Allocations</t>
        </is>
      </c>
      <c r="B8" s="4" t="n"/>
    </row>
    <row r="9">
      <c r="A9" s="38" t="inlineStr">
        <is>
          <t>Real Assets Foundation Operations</t>
        </is>
      </c>
      <c r="B9" s="47" t="n">
        <v>0.25</v>
      </c>
      <c r="C9" s="133">
        <f>B6*B9</f>
        <v/>
      </c>
    </row>
    <row r="10">
      <c r="A10" s="38" t="inlineStr">
        <is>
          <t>Real Gold Treasury Operations &amp; Liquidity</t>
        </is>
      </c>
      <c r="B10" s="47" t="n">
        <v>0.5</v>
      </c>
      <c r="C10" s="133">
        <f>B6*B10</f>
        <v/>
      </c>
    </row>
    <row r="11">
      <c r="A11" s="38" t="inlineStr">
        <is>
          <t>Co-Founder Revshare Pool</t>
        </is>
      </c>
      <c r="B11" s="47" t="n">
        <v>0.1</v>
      </c>
      <c r="C11" s="133">
        <f>B6*B11</f>
        <v/>
      </c>
    </row>
    <row r="12">
      <c r="A12" s="45" t="inlineStr">
        <is>
          <t>Employee/Advisor Revshare Pool</t>
        </is>
      </c>
      <c r="B12" s="48" t="n">
        <v>0.15</v>
      </c>
      <c r="C12" s="133">
        <f>B6*B12</f>
        <v/>
      </c>
    </row>
    <row r="14">
      <c r="A14" s="36" t="inlineStr">
        <is>
          <t>Co-founder Revshare Pool</t>
        </is>
      </c>
      <c r="B14" s="4" t="n"/>
    </row>
    <row r="15">
      <c r="A15" s="38" t="inlineStr">
        <is>
          <t>Number of Co-founders</t>
        </is>
      </c>
      <c r="B15" s="42" t="n">
        <v>4</v>
      </c>
    </row>
    <row r="16">
      <c r="A16" s="38" t="inlineStr">
        <is>
          <t>Annual Co-founder Revshare Pool</t>
        </is>
      </c>
      <c r="B16" s="135">
        <f>B6*B11</f>
        <v/>
      </c>
    </row>
    <row r="17">
      <c r="A17" s="45" t="inlineStr">
        <is>
          <t>Annual Co-Founder Revshare</t>
        </is>
      </c>
      <c r="B17" s="177">
        <f>B16/B15</f>
        <v/>
      </c>
    </row>
    <row r="19">
      <c r="A19" s="36" t="inlineStr">
        <is>
          <t>Active Employee/Advisor Revshare Pool</t>
        </is>
      </c>
      <c r="B19" s="4" t="n"/>
    </row>
    <row r="20">
      <c r="A20" s="38" t="inlineStr">
        <is>
          <t># of Active Employees</t>
        </is>
      </c>
      <c r="B20" s="42" t="n">
        <v>10</v>
      </c>
    </row>
    <row r="21">
      <c r="A21" s="38" t="inlineStr">
        <is>
          <t># of Active Advisors</t>
        </is>
      </c>
      <c r="B21" s="42" t="n">
        <v>10</v>
      </c>
    </row>
    <row r="22">
      <c r="A22" s="38" t="inlineStr">
        <is>
          <t>Revshare % per Employee/Advisor</t>
        </is>
      </c>
      <c r="B22" s="265">
        <f>B12/(B20+B21)</f>
        <v/>
      </c>
    </row>
    <row r="23">
      <c r="A23" s="45" t="inlineStr">
        <is>
          <t>Annual Employee/Advisor Revshare</t>
        </is>
      </c>
      <c r="B23" s="177">
        <f>B6*B22</f>
        <v/>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64"/>
  <sheetViews>
    <sheetView workbookViewId="0">
      <pane ySplit="1" topLeftCell="A2" activePane="bottomLeft" state="frozen"/>
      <selection pane="bottomLeft" activeCell="B3" sqref="B3"/>
    </sheetView>
  </sheetViews>
  <sheetFormatPr baseColWidth="8" defaultColWidth="12.63" defaultRowHeight="15.75" customHeight="1"/>
  <cols>
    <col width="30" customWidth="1" style="323" min="1" max="1"/>
    <col width="15" customWidth="1" style="323" min="3" max="3"/>
  </cols>
  <sheetData>
    <row r="1">
      <c r="A1" s="191" t="inlineStr">
        <is>
          <t>Item</t>
        </is>
      </c>
      <c r="B1" s="191" t="inlineStr">
        <is>
          <t>Date</t>
        </is>
      </c>
      <c r="C1" s="191" t="inlineStr">
        <is>
          <t>Category</t>
        </is>
      </c>
      <c r="D1" s="191" t="inlineStr">
        <is>
          <t>Amount</t>
        </is>
      </c>
      <c r="E1" s="191" t="inlineStr">
        <is>
          <t>Contributed by</t>
        </is>
      </c>
    </row>
    <row r="2">
      <c r="A2" s="117" t="inlineStr">
        <is>
          <t>Ixchel Accommodation and Meals</t>
        </is>
      </c>
      <c r="C2" s="117" t="inlineStr">
        <is>
          <t>Team Retreat</t>
        </is>
      </c>
      <c r="D2" s="133" t="n">
        <v>7500</v>
      </c>
      <c r="E2" s="117" t="inlineStr">
        <is>
          <t>Arthur</t>
        </is>
      </c>
    </row>
    <row r="3">
      <c r="A3" s="117" t="inlineStr">
        <is>
          <t>Tulum Car Rental</t>
        </is>
      </c>
      <c r="C3" s="117" t="inlineStr">
        <is>
          <t>Team Retreat</t>
        </is>
      </c>
      <c r="D3" s="133" t="n">
        <v>1250</v>
      </c>
      <c r="E3" s="117" t="inlineStr">
        <is>
          <t>Arthur</t>
        </is>
      </c>
    </row>
    <row r="4">
      <c r="A4" s="117" t="inlineStr">
        <is>
          <t>Tulum Car Rental</t>
        </is>
      </c>
      <c r="C4" s="117" t="inlineStr">
        <is>
          <t>Team Retreat</t>
        </is>
      </c>
      <c r="D4" s="133" t="n">
        <v>1250</v>
      </c>
      <c r="E4" s="117" t="inlineStr">
        <is>
          <t>Arthur</t>
        </is>
      </c>
    </row>
    <row r="5">
      <c r="A5" s="117" t="inlineStr">
        <is>
          <t>Ishan Flight</t>
        </is>
      </c>
      <c r="C5" s="117" t="inlineStr">
        <is>
          <t>Travel</t>
        </is>
      </c>
      <c r="D5" s="133" t="n">
        <v>400</v>
      </c>
      <c r="E5" s="117" t="inlineStr">
        <is>
          <t>Ishan</t>
        </is>
      </c>
    </row>
    <row r="6">
      <c r="A6" s="117" t="inlineStr">
        <is>
          <t>Ferananda Flight</t>
        </is>
      </c>
      <c r="C6" s="117" t="inlineStr">
        <is>
          <t>Travel</t>
        </is>
      </c>
      <c r="D6" s="133" t="n">
        <v>450</v>
      </c>
      <c r="E6" s="117" t="inlineStr">
        <is>
          <t>Fer</t>
        </is>
      </c>
    </row>
    <row r="7">
      <c r="A7" s="117" t="inlineStr">
        <is>
          <t>Coda Subscription</t>
        </is>
      </c>
      <c r="C7" s="117" t="inlineStr">
        <is>
          <t>Tech</t>
        </is>
      </c>
      <c r="D7" s="133" t="n">
        <v>192</v>
      </c>
      <c r="E7" s="117" t="inlineStr">
        <is>
          <t>Fer</t>
        </is>
      </c>
    </row>
    <row r="8">
      <c r="A8" s="117" t="inlineStr">
        <is>
          <t>Attio</t>
        </is>
      </c>
      <c r="C8" s="117" t="inlineStr">
        <is>
          <t>Tech</t>
        </is>
      </c>
      <c r="D8" s="133" t="n">
        <v>597</v>
      </c>
      <c r="E8" s="117" t="inlineStr">
        <is>
          <t>Fer</t>
        </is>
      </c>
    </row>
    <row r="9">
      <c r="A9" s="117" t="inlineStr">
        <is>
          <t>Frequency</t>
        </is>
      </c>
      <c r="C9" s="117" t="inlineStr">
        <is>
          <t>Travel / just ticket</t>
        </is>
      </c>
      <c r="D9" s="133" t="n">
        <v>1000</v>
      </c>
      <c r="E9" s="117" t="inlineStr">
        <is>
          <t>Fer</t>
        </is>
      </c>
    </row>
    <row r="10">
      <c r="A10" s="117" t="inlineStr">
        <is>
          <t>real.gold domain</t>
        </is>
      </c>
      <c r="C10" s="117" t="inlineStr">
        <is>
          <t>Tech Infrastructure</t>
        </is>
      </c>
      <c r="D10" s="133" t="n">
        <v>250</v>
      </c>
      <c r="E10" s="117" t="inlineStr">
        <is>
          <t>Arthur</t>
        </is>
      </c>
    </row>
    <row r="11">
      <c r="A11" s="117" t="inlineStr">
        <is>
          <t>Team Dinner - Tierra Restaurant</t>
        </is>
      </c>
      <c r="B11" s="270" t="n"/>
      <c r="C11" s="117" t="inlineStr">
        <is>
          <t>Team Meals</t>
        </is>
      </c>
      <c r="D11" s="133" t="n">
        <v>300</v>
      </c>
      <c r="E11" s="117" t="inlineStr">
        <is>
          <t>Arthur</t>
        </is>
      </c>
    </row>
    <row r="12">
      <c r="A12" s="117" t="inlineStr">
        <is>
          <t>Ishan Stipend - September</t>
        </is>
      </c>
      <c r="B12" s="270" t="n">
        <v>45548</v>
      </c>
      <c r="C12" s="117" t="inlineStr">
        <is>
          <t>Stipend</t>
        </is>
      </c>
      <c r="D12" s="133" t="n">
        <v>3000</v>
      </c>
      <c r="E12" s="117" t="inlineStr">
        <is>
          <t>Arthur</t>
        </is>
      </c>
    </row>
    <row r="13">
      <c r="A13" s="117" t="inlineStr">
        <is>
          <t>Ishan Stipend - October</t>
        </is>
      </c>
      <c r="B13" s="271" t="n">
        <v>45595</v>
      </c>
      <c r="C13" s="117" t="inlineStr">
        <is>
          <t>Stipend</t>
        </is>
      </c>
      <c r="D13" s="133" t="n">
        <v>3000</v>
      </c>
      <c r="E13" s="117" t="inlineStr">
        <is>
          <t>Arthur</t>
        </is>
      </c>
    </row>
    <row r="14">
      <c r="A14" s="117" t="inlineStr">
        <is>
          <t>Ishan Stipend - November</t>
        </is>
      </c>
      <c r="B14" s="271" t="n">
        <v>45630</v>
      </c>
      <c r="C14" s="117" t="inlineStr">
        <is>
          <t>Stipend</t>
        </is>
      </c>
      <c r="D14" s="133" t="n">
        <v>3000</v>
      </c>
      <c r="E14" s="117" t="inlineStr">
        <is>
          <t>Arthur</t>
        </is>
      </c>
    </row>
    <row r="15">
      <c r="A15" s="117" t="inlineStr">
        <is>
          <t>Ishan Stipend - December</t>
        </is>
      </c>
      <c r="B15" s="271" t="n">
        <v>45659</v>
      </c>
      <c r="C15" s="117" t="inlineStr">
        <is>
          <t>Stipend</t>
        </is>
      </c>
      <c r="D15" s="133" t="n">
        <v>3000</v>
      </c>
      <c r="E15" s="117" t="inlineStr">
        <is>
          <t>Arthur</t>
        </is>
      </c>
    </row>
    <row r="16">
      <c r="A16" s="117" t="inlineStr">
        <is>
          <t>Ishan Stipend - January</t>
        </is>
      </c>
      <c r="B16" s="271" t="n">
        <v>45702</v>
      </c>
      <c r="C16" s="117" t="inlineStr">
        <is>
          <t>Stipend</t>
        </is>
      </c>
      <c r="D16" s="133" t="n">
        <v>3000</v>
      </c>
      <c r="E16" s="117" t="inlineStr">
        <is>
          <t>Arthur</t>
        </is>
      </c>
    </row>
    <row r="17">
      <c r="A17" s="117" t="inlineStr">
        <is>
          <t>Ishan Stipend - February</t>
        </is>
      </c>
      <c r="B17" s="271" t="n">
        <v>45743</v>
      </c>
      <c r="C17" s="117" t="inlineStr">
        <is>
          <t>Stipend</t>
        </is>
      </c>
      <c r="D17" s="133" t="n">
        <v>3000</v>
      </c>
      <c r="E17" s="117" t="inlineStr">
        <is>
          <t>Arthur</t>
        </is>
      </c>
    </row>
    <row r="18">
      <c r="A18" s="117" t="inlineStr">
        <is>
          <t>Ishan Stipend - March</t>
        </is>
      </c>
      <c r="B18" s="271" t="n">
        <v>45772</v>
      </c>
      <c r="C18" s="117" t="inlineStr">
        <is>
          <t>Stipend</t>
        </is>
      </c>
      <c r="D18" s="133" t="n">
        <v>3000</v>
      </c>
      <c r="E18" s="117" t="inlineStr">
        <is>
          <t>Arthur</t>
        </is>
      </c>
    </row>
    <row r="19">
      <c r="A19" s="117" t="inlineStr">
        <is>
          <t>Ishan Stipend - April</t>
        </is>
      </c>
      <c r="B19" s="270" t="n">
        <v>45811</v>
      </c>
      <c r="C19" s="117" t="inlineStr">
        <is>
          <t>Stipend</t>
        </is>
      </c>
      <c r="D19" s="133" t="n">
        <v>3000</v>
      </c>
      <c r="E19" s="117" t="inlineStr">
        <is>
          <t>Arthur</t>
        </is>
      </c>
    </row>
    <row r="20">
      <c r="A20" s="117" t="inlineStr">
        <is>
          <t>Ishan Stipend - May</t>
        </is>
      </c>
      <c r="B20" s="271" t="n">
        <v>45835</v>
      </c>
      <c r="C20" s="117" t="inlineStr">
        <is>
          <t>Stipend</t>
        </is>
      </c>
      <c r="D20" s="133" t="n">
        <v>3000</v>
      </c>
      <c r="E20" s="117" t="inlineStr">
        <is>
          <t>Arthur</t>
        </is>
      </c>
    </row>
    <row r="21">
      <c r="A21" s="117" t="inlineStr">
        <is>
          <t>Ishan Stipend - June</t>
        </is>
      </c>
      <c r="B21" s="271" t="n">
        <v>45866</v>
      </c>
      <c r="C21" s="117" t="inlineStr">
        <is>
          <t>Stipend</t>
        </is>
      </c>
      <c r="D21" s="133" t="n">
        <v>3000</v>
      </c>
      <c r="E21" s="117" t="inlineStr">
        <is>
          <t>Arthur</t>
        </is>
      </c>
    </row>
    <row r="22">
      <c r="A22" s="117" t="inlineStr">
        <is>
          <t>Ishan Stipend - July</t>
        </is>
      </c>
      <c r="C22" s="117" t="inlineStr">
        <is>
          <t>Stipend</t>
        </is>
      </c>
      <c r="D22" s="133" t="n"/>
      <c r="E22" s="117" t="n"/>
    </row>
    <row r="23">
      <c r="A23" s="117" t="inlineStr">
        <is>
          <t>RealGold Trademark</t>
        </is>
      </c>
      <c r="C23" s="190" t="inlineStr">
        <is>
          <t>Legal</t>
        </is>
      </c>
      <c r="D23" s="272" t="n">
        <v>1650</v>
      </c>
      <c r="E23" s="190" t="inlineStr">
        <is>
          <t>Arthur</t>
        </is>
      </c>
      <c r="F23" s="190" t="n"/>
    </row>
    <row r="24">
      <c r="A24" s="117" t="inlineStr">
        <is>
          <t>ETH Denver Accommodations</t>
        </is>
      </c>
      <c r="C24" s="190" t="inlineStr">
        <is>
          <t>Travel</t>
        </is>
      </c>
      <c r="D24" s="272" t="n">
        <v>1500</v>
      </c>
      <c r="E24" s="190" t="inlineStr">
        <is>
          <t>Arthur</t>
        </is>
      </c>
      <c r="F24" s="190" t="n"/>
    </row>
    <row r="25">
      <c r="A25" s="117" t="inlineStr">
        <is>
          <t>ETH Denver Car Rental</t>
        </is>
      </c>
      <c r="C25" s="190" t="inlineStr">
        <is>
          <t>Travel</t>
        </is>
      </c>
      <c r="D25" s="272" t="n">
        <v>1000</v>
      </c>
      <c r="E25" s="190" t="inlineStr">
        <is>
          <t>Arthur</t>
        </is>
      </c>
      <c r="F25" s="190" t="n"/>
    </row>
    <row r="26">
      <c r="A26" s="117" t="inlineStr">
        <is>
          <t>ETH Denver Meals</t>
        </is>
      </c>
      <c r="C26" s="190" t="inlineStr">
        <is>
          <t>Travel</t>
        </is>
      </c>
      <c r="D26" s="272" t="n">
        <v>500</v>
      </c>
      <c r="E26" s="190" t="inlineStr">
        <is>
          <t>Arthur</t>
        </is>
      </c>
      <c r="F26" s="190" t="n"/>
    </row>
    <row r="27">
      <c r="A27" s="117" t="inlineStr">
        <is>
          <t>ETH Denver Flights</t>
        </is>
      </c>
      <c r="C27" s="190" t="inlineStr">
        <is>
          <t>Travel</t>
        </is>
      </c>
      <c r="D27" s="272" t="n">
        <v>800</v>
      </c>
      <c r="E27" s="190" t="inlineStr">
        <is>
          <t>Arthur</t>
        </is>
      </c>
      <c r="F27" s="190" t="n"/>
    </row>
    <row r="28">
      <c r="A28" s="117" t="inlineStr">
        <is>
          <t>Regenerative Assets Company Formation</t>
        </is>
      </c>
      <c r="C28" s="190" t="inlineStr">
        <is>
          <t>Legal</t>
        </is>
      </c>
      <c r="D28" s="272" t="n">
        <v>150</v>
      </c>
      <c r="E28" s="190" t="inlineStr">
        <is>
          <t>Arthur</t>
        </is>
      </c>
      <c r="F28" s="190" t="n"/>
    </row>
    <row r="29">
      <c r="A29" s="117" t="inlineStr">
        <is>
          <t>Kickoff Labs February</t>
        </is>
      </c>
      <c r="B29" s="271" t="n">
        <v>45709</v>
      </c>
      <c r="C29" s="117" t="inlineStr">
        <is>
          <t>Tech</t>
        </is>
      </c>
      <c r="D29" s="133" t="n">
        <v>69</v>
      </c>
      <c r="E29" s="190" t="inlineStr">
        <is>
          <t>Arthur</t>
        </is>
      </c>
    </row>
    <row r="30">
      <c r="A30" s="117" t="inlineStr">
        <is>
          <t>Kickoff Labs Feb/March Upgrade</t>
        </is>
      </c>
      <c r="B30" s="271" t="n">
        <v>45727</v>
      </c>
      <c r="C30" s="117" t="inlineStr">
        <is>
          <t>Tech</t>
        </is>
      </c>
      <c r="D30" s="133" t="n">
        <v>24.42</v>
      </c>
      <c r="E30" s="190" t="inlineStr">
        <is>
          <t>Arthur</t>
        </is>
      </c>
    </row>
    <row r="31">
      <c r="A31" s="117" t="inlineStr">
        <is>
          <t>Kickoff Labs March</t>
        </is>
      </c>
      <c r="B31" s="271" t="n">
        <v>45737</v>
      </c>
      <c r="C31" s="117" t="inlineStr">
        <is>
          <t>Tech</t>
        </is>
      </c>
      <c r="D31" s="133" t="n">
        <v>145</v>
      </c>
      <c r="E31" s="190" t="inlineStr">
        <is>
          <t>Arthur</t>
        </is>
      </c>
    </row>
    <row r="32">
      <c r="A32" s="117" t="inlineStr">
        <is>
          <t>Kickoff Labs April</t>
        </is>
      </c>
      <c r="B32" s="271" t="n">
        <v>45768</v>
      </c>
      <c r="C32" s="117" t="inlineStr">
        <is>
          <t>Tech</t>
        </is>
      </c>
      <c r="D32" s="133" t="n">
        <v>145</v>
      </c>
      <c r="E32" s="190" t="inlineStr">
        <is>
          <t>Arthur</t>
        </is>
      </c>
    </row>
    <row r="33">
      <c r="A33" s="117" t="inlineStr">
        <is>
          <t>Kickoff Labs May</t>
        </is>
      </c>
      <c r="B33" s="271" t="n">
        <v>45798</v>
      </c>
      <c r="C33" s="117" t="inlineStr">
        <is>
          <t>Tech</t>
        </is>
      </c>
      <c r="D33" s="133" t="n">
        <v>145</v>
      </c>
      <c r="E33" s="190" t="inlineStr">
        <is>
          <t>Arthur</t>
        </is>
      </c>
    </row>
    <row r="34">
      <c r="A34" s="117" t="inlineStr">
        <is>
          <t>Kickoff Labs June</t>
        </is>
      </c>
      <c r="B34" s="271" t="n">
        <v>45829</v>
      </c>
      <c r="C34" s="117" t="inlineStr">
        <is>
          <t>Tech</t>
        </is>
      </c>
      <c r="D34" s="133" t="n">
        <v>145</v>
      </c>
      <c r="E34" s="190" t="inlineStr">
        <is>
          <t>Arthur</t>
        </is>
      </c>
    </row>
    <row r="35">
      <c r="A35" s="117" t="inlineStr">
        <is>
          <t>Kickoff Labs July</t>
        </is>
      </c>
      <c r="B35" s="271" t="n">
        <v>45859</v>
      </c>
      <c r="C35" s="117" t="inlineStr">
        <is>
          <t>Tech</t>
        </is>
      </c>
      <c r="D35" s="133" t="n">
        <v>145</v>
      </c>
      <c r="E35" s="190" t="inlineStr">
        <is>
          <t>Arthur</t>
        </is>
      </c>
    </row>
    <row r="36">
      <c r="A36" s="117" t="inlineStr">
        <is>
          <t>Papermark April</t>
        </is>
      </c>
      <c r="B36" s="271" t="n">
        <v>45764</v>
      </c>
      <c r="C36" s="117" t="inlineStr">
        <is>
          <t>Tech</t>
        </is>
      </c>
      <c r="D36" s="133" t="n">
        <v>95</v>
      </c>
      <c r="E36" s="190" t="inlineStr">
        <is>
          <t>Arthur</t>
        </is>
      </c>
    </row>
    <row r="37">
      <c r="A37" s="117" t="inlineStr">
        <is>
          <t>Papermark May</t>
        </is>
      </c>
      <c r="B37" s="271" t="n">
        <v>45794</v>
      </c>
      <c r="C37" s="117" t="inlineStr">
        <is>
          <t>Tech</t>
        </is>
      </c>
      <c r="D37" s="133" t="n">
        <v>95</v>
      </c>
      <c r="E37" s="190" t="inlineStr">
        <is>
          <t>Arthur</t>
        </is>
      </c>
    </row>
    <row r="38">
      <c r="A38" s="117" t="inlineStr">
        <is>
          <t>Papermark June</t>
        </is>
      </c>
      <c r="B38" s="271" t="n">
        <v>45825</v>
      </c>
      <c r="C38" s="117" t="inlineStr">
        <is>
          <t>Tech</t>
        </is>
      </c>
      <c r="D38" s="133" t="n">
        <v>95</v>
      </c>
      <c r="E38" s="190" t="inlineStr">
        <is>
          <t>Arthur</t>
        </is>
      </c>
    </row>
    <row r="39">
      <c r="A39" s="117" t="inlineStr">
        <is>
          <t>Papermark July</t>
        </is>
      </c>
      <c r="B39" s="271" t="n">
        <v>45855</v>
      </c>
      <c r="C39" s="117" t="inlineStr">
        <is>
          <t>Tech</t>
        </is>
      </c>
      <c r="D39" s="133" t="n">
        <v>95</v>
      </c>
      <c r="E39" s="190" t="inlineStr">
        <is>
          <t>Arthur</t>
        </is>
      </c>
    </row>
    <row r="40">
      <c r="A40" s="117" t="inlineStr">
        <is>
          <t>Papermark August</t>
        </is>
      </c>
      <c r="C40" s="117" t="inlineStr">
        <is>
          <t>Tech</t>
        </is>
      </c>
      <c r="D40" s="133" t="n">
        <v>95</v>
      </c>
      <c r="E40" s="190" t="inlineStr">
        <is>
          <t>Arthur</t>
        </is>
      </c>
    </row>
    <row r="41">
      <c r="A41" s="117" t="inlineStr">
        <is>
          <t>ChatGPT Pro May</t>
        </is>
      </c>
      <c r="C41" s="117" t="inlineStr">
        <is>
          <t>Tech</t>
        </is>
      </c>
      <c r="D41" s="133" t="n">
        <v>183.19</v>
      </c>
      <c r="E41" s="190" t="inlineStr">
        <is>
          <t>Ishan</t>
        </is>
      </c>
    </row>
    <row r="42">
      <c r="A42" s="117" t="inlineStr">
        <is>
          <t>ChatGPT Pro June</t>
        </is>
      </c>
      <c r="C42" s="117" t="inlineStr">
        <is>
          <t>Tech</t>
        </is>
      </c>
      <c r="D42" s="133" t="n">
        <v>200</v>
      </c>
      <c r="E42" s="190" t="inlineStr">
        <is>
          <t>Ishan</t>
        </is>
      </c>
    </row>
    <row r="43">
      <c r="A43" s="117" t="inlineStr">
        <is>
          <t>ChatGPT Pro July</t>
        </is>
      </c>
      <c r="C43" s="117" t="inlineStr">
        <is>
          <t>Tech</t>
        </is>
      </c>
      <c r="D43" s="133" t="n">
        <v>200</v>
      </c>
      <c r="E43" s="190" t="inlineStr">
        <is>
          <t>Ishan</t>
        </is>
      </c>
    </row>
    <row r="44">
      <c r="A44" s="117" t="inlineStr">
        <is>
          <t>Trip to Big Island</t>
        </is>
      </c>
      <c r="C44" s="117" t="inlineStr">
        <is>
          <t>Travel</t>
        </is>
      </c>
      <c r="D44" s="133" t="n">
        <v>160</v>
      </c>
      <c r="E44" s="190" t="inlineStr">
        <is>
          <t>Ferananda</t>
        </is>
      </c>
    </row>
    <row r="45">
      <c r="A45" s="117" t="n"/>
      <c r="C45" s="117" t="n"/>
      <c r="D45" s="133" t="n"/>
      <c r="E45" s="190" t="n"/>
    </row>
    <row r="46">
      <c r="A46" s="117" t="n"/>
      <c r="D46" s="133" t="n"/>
    </row>
    <row r="47">
      <c r="A47" s="117" t="inlineStr">
        <is>
          <t>Art Total</t>
        </is>
      </c>
      <c r="D47" s="133">
        <f>SUM(D2:D4,D10:D40)</f>
        <v/>
      </c>
    </row>
    <row r="48">
      <c r="A48" s="117" t="inlineStr">
        <is>
          <t>Ishan Total</t>
        </is>
      </c>
      <c r="D48" s="133">
        <f>sum(D5,D41:D43)</f>
        <v/>
      </c>
    </row>
    <row r="49">
      <c r="A49" s="117" t="inlineStr">
        <is>
          <t>Fer total</t>
        </is>
      </c>
      <c r="D49" s="133">
        <f>SUM(D6:D9)</f>
        <v/>
      </c>
    </row>
    <row r="57">
      <c r="A57" s="117" t="inlineStr">
        <is>
          <t>FEA Fees</t>
        </is>
      </c>
    </row>
    <row r="58">
      <c r="A58" s="117" t="inlineStr">
        <is>
          <t>Affiliate Membership (RAF)</t>
        </is>
      </c>
      <c r="B58" s="117" t="n">
        <v>2000</v>
      </c>
    </row>
    <row r="59">
      <c r="A59" s="117" t="inlineStr">
        <is>
          <t>Exhibitor Booth</t>
        </is>
      </c>
      <c r="B59" s="117" t="n">
        <v>0</v>
      </c>
    </row>
    <row r="60">
      <c r="A60" s="117" t="inlineStr">
        <is>
          <t>2 tickets</t>
        </is>
      </c>
      <c r="B60" s="117" t="n">
        <v>1390</v>
      </c>
    </row>
    <row r="61">
      <c r="A61" s="117" t="inlineStr">
        <is>
          <t>Flights</t>
        </is>
      </c>
      <c r="B61" s="117" t="n">
        <v>800</v>
      </c>
    </row>
    <row r="62">
      <c r="A62" s="117" t="inlineStr">
        <is>
          <t>Meals/Transport/Etc.</t>
        </is>
      </c>
      <c r="B62" s="117" t="n">
        <v>600</v>
      </c>
    </row>
    <row r="63">
      <c r="A63" s="117" t="inlineStr">
        <is>
          <t>Accommodations</t>
        </is>
      </c>
      <c r="B63" s="117" t="n">
        <v>2000</v>
      </c>
    </row>
    <row r="64">
      <c r="B64" s="117">
        <f>SUM(B58:B63)</f>
        <v/>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B27"/>
  <sheetViews>
    <sheetView workbookViewId="0">
      <pane ySplit="1" topLeftCell="A2" activePane="bottomLeft" state="frozen"/>
      <selection pane="bottomLeft" activeCell="B3" sqref="B3"/>
    </sheetView>
  </sheetViews>
  <sheetFormatPr baseColWidth="8" defaultColWidth="12.63" defaultRowHeight="15.75" customHeight="1"/>
  <cols>
    <col width="42.13" customWidth="1" style="323" min="1" max="1"/>
    <col width="16.75" customWidth="1" style="323" min="2" max="2"/>
  </cols>
  <sheetData>
    <row r="1">
      <c r="A1" s="1" t="inlineStr">
        <is>
          <t>Land Acquisition Deal Calculator</t>
        </is>
      </c>
    </row>
    <row r="2">
      <c r="A2" s="117" t="n"/>
      <c r="B2" s="100" t="n"/>
    </row>
    <row r="3">
      <c r="A3" s="53" t="inlineStr">
        <is>
          <t>Measured Resources</t>
        </is>
      </c>
      <c r="B3" s="273" t="n"/>
    </row>
    <row r="4">
      <c r="A4" s="38" t="inlineStr">
        <is>
          <t>Indicated Resources</t>
        </is>
      </c>
      <c r="B4" s="182" t="n"/>
    </row>
    <row r="5">
      <c r="A5" s="38" t="inlineStr">
        <is>
          <t>Inferred Resources</t>
        </is>
      </c>
      <c r="B5" s="182" t="n"/>
    </row>
    <row r="6">
      <c r="A6" s="38" t="inlineStr">
        <is>
          <t>Total Available for Tokenization</t>
        </is>
      </c>
      <c r="B6" s="182" t="n">
        <v>65000</v>
      </c>
    </row>
    <row r="7">
      <c r="A7" s="38" t="inlineStr">
        <is>
          <t>Last Purchase Price</t>
        </is>
      </c>
      <c r="B7" s="182" t="n">
        <v>250000</v>
      </c>
    </row>
    <row r="8">
      <c r="A8" s="38" t="inlineStr">
        <is>
          <t>Investment in Property (exploration)</t>
        </is>
      </c>
      <c r="B8" s="182" t="n">
        <v>50000</v>
      </c>
    </row>
    <row r="9">
      <c r="A9" s="38" t="inlineStr">
        <is>
          <t>In-situ valuation</t>
        </is>
      </c>
      <c r="B9" s="43" t="n">
        <v>0.0025</v>
      </c>
    </row>
    <row r="10">
      <c r="A10" s="45" t="inlineStr">
        <is>
          <t>Rights Holder Payout Cap</t>
        </is>
      </c>
      <c r="B10" s="55" t="n">
        <v>0.5</v>
      </c>
    </row>
    <row r="11">
      <c r="A11" s="117" t="n"/>
      <c r="B11" s="274" t="n"/>
    </row>
    <row r="12">
      <c r="A12" s="53" t="inlineStr">
        <is>
          <t>Price per Ounce in Ground</t>
        </is>
      </c>
      <c r="B12" s="275">
        <f>Inputs!B9*B9</f>
        <v/>
      </c>
    </row>
    <row r="13">
      <c r="A13" s="38" t="inlineStr">
        <is>
          <t>Payout to Rights Holder</t>
        </is>
      </c>
      <c r="B13" s="276">
        <f>(B6*Inputs!B9)*B9</f>
        <v/>
      </c>
    </row>
    <row r="14">
      <c r="A14" s="45" t="inlineStr">
        <is>
          <t>Return on Investment</t>
        </is>
      </c>
      <c r="B14" s="277">
        <f>B13/(B7+B8)</f>
        <v/>
      </c>
    </row>
    <row r="16">
      <c r="A16" s="53" t="inlineStr">
        <is>
          <t>Unlock Percentage</t>
        </is>
      </c>
      <c r="B16" s="278" t="n">
        <v>0.35</v>
      </c>
    </row>
    <row r="17">
      <c r="A17" s="38" t="inlineStr">
        <is>
          <t>First year unlock</t>
        </is>
      </c>
      <c r="B17" s="47" t="n">
        <v>0.25</v>
      </c>
    </row>
    <row r="18">
      <c r="A18" s="38" t="inlineStr">
        <is>
          <t># of Release Years</t>
        </is>
      </c>
      <c r="B18" s="42" t="n">
        <v>30</v>
      </c>
    </row>
    <row r="19">
      <c r="A19" s="38" t="inlineStr">
        <is>
          <t>1st year Release</t>
        </is>
      </c>
      <c r="B19" s="276">
        <f>((B6*B16)*Inputs!B9)*B17</f>
        <v/>
      </c>
    </row>
    <row r="20">
      <c r="A20" s="38" t="inlineStr">
        <is>
          <t>Yearly Release</t>
        </is>
      </c>
      <c r="B20" s="276">
        <f>(((B6*B16)*Inputs!B9)-B19)/(B18-1)</f>
        <v/>
      </c>
    </row>
    <row r="21">
      <c r="A21" s="45" t="inlineStr">
        <is>
          <t>Lifetime Release</t>
        </is>
      </c>
      <c r="B21" s="279">
        <f>(B6*B16)*Inputs!B9</f>
        <v/>
      </c>
    </row>
    <row r="23">
      <c r="A23" s="53" t="inlineStr">
        <is>
          <t>Total Value of Resources</t>
        </is>
      </c>
      <c r="B23" s="280">
        <f>B6*Inputs!B9</f>
        <v/>
      </c>
    </row>
    <row r="24">
      <c r="A24" s="45" t="inlineStr">
        <is>
          <t>Value of Resources after AISC</t>
        </is>
      </c>
      <c r="B24" s="177">
        <f>(B6*Inputs!B9)-(B6*Inputs!B15)</f>
        <v/>
      </c>
    </row>
    <row r="27">
      <c r="A27" s="117" t="inlineStr">
        <is>
          <t>Art thinks cap for rights holder should be 50% of first year unlock</t>
        </is>
      </c>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Y1001"/>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8" defaultColWidth="12.63" defaultRowHeight="15.75" customHeight="1"/>
  <cols>
    <col width="16.75" customWidth="1" style="323" min="1" max="1"/>
    <col width="14.88" customWidth="1" style="323" min="2" max="2"/>
    <col width="9" customWidth="1" style="323" min="3" max="3"/>
    <col width="12.13" customWidth="1" style="323" min="4" max="4"/>
    <col width="12.75" customWidth="1" style="323" min="5" max="5"/>
    <col width="13.38" customWidth="1" style="323" min="6" max="6"/>
    <col width="14.63" customWidth="1" style="323" min="7" max="7"/>
    <col width="6.63" customWidth="1" style="323" min="8" max="8"/>
    <col width="18" customWidth="1" style="323" min="9" max="9"/>
    <col width="17.75" customWidth="1" style="323" min="10" max="10"/>
    <col width="16.5" customWidth="1" style="323" min="11" max="11"/>
    <col width="17.25" customWidth="1" style="323" min="12" max="12"/>
    <col width="16.25" customWidth="1" style="323" min="13" max="13"/>
    <col width="15.75" customWidth="1" style="323" min="14" max="14"/>
    <col width="8.130000000000001" customWidth="1" style="323" min="15" max="15"/>
    <col width="15.63" customWidth="1" style="323" min="16" max="16"/>
    <col width="19.88" customWidth="1" style="323" min="17" max="17"/>
    <col width="17.25" customWidth="1" style="323" min="18" max="18"/>
    <col width="17.38" customWidth="1" style="323" min="19" max="19"/>
    <col width="19.63" customWidth="1" style="323" min="20" max="20"/>
    <col width="18.38" customWidth="1" style="323" min="21" max="21"/>
    <col width="18.88" customWidth="1" style="323" min="22" max="22"/>
    <col width="23.38" customWidth="1" style="323" min="23" max="23"/>
    <col width="8.130000000000001" customWidth="1" style="323" min="24" max="24"/>
    <col width="15.75" customWidth="1" style="323" min="25" max="25"/>
  </cols>
  <sheetData>
    <row r="1">
      <c r="A1" s="281" t="inlineStr">
        <is>
          <t>Size of Resources</t>
        </is>
      </c>
      <c r="B1" s="282" t="inlineStr">
        <is>
          <t>AU Resources (oz)</t>
        </is>
      </c>
      <c r="C1" s="282" t="inlineStr">
        <is>
          <t>TTP Level</t>
        </is>
      </c>
      <c r="D1" s="282" t="inlineStr">
        <is>
          <t>Release Years</t>
        </is>
      </c>
      <c r="E1" s="282" t="inlineStr">
        <is>
          <t>Initial Release</t>
        </is>
      </c>
      <c r="F1" s="282" t="inlineStr">
        <is>
          <t>1031 Allocation</t>
        </is>
      </c>
      <c r="G1" s="283" t="inlineStr">
        <is>
          <t>Token Allocation</t>
        </is>
      </c>
      <c r="H1" s="304" t="n"/>
      <c r="I1" s="281" t="inlineStr">
        <is>
          <t>Lifetime Release (oz)</t>
        </is>
      </c>
      <c r="J1" s="282" t="inlineStr">
        <is>
          <t>1st Year Release (oz)</t>
        </is>
      </c>
      <c r="K1" s="283" t="inlineStr">
        <is>
          <t>Yearly Release (oz)</t>
        </is>
      </c>
      <c r="L1" s="284" t="inlineStr">
        <is>
          <t>Lifetime Release ($)</t>
        </is>
      </c>
      <c r="M1" s="282" t="inlineStr">
        <is>
          <t>1st Year Release ($)</t>
        </is>
      </c>
      <c r="N1" s="283" t="inlineStr">
        <is>
          <t>Yearly Release ($)</t>
        </is>
      </c>
      <c r="O1" s="304" t="n"/>
      <c r="P1" s="281" t="inlineStr">
        <is>
          <t>Yearly Reg Fee ($)</t>
        </is>
      </c>
      <c r="Q1" s="282" t="inlineStr">
        <is>
          <t>Yearly Release Fees ($)</t>
        </is>
      </c>
      <c r="R1" s="282" t="inlineStr">
        <is>
          <t>Total Yearly Fees ($)</t>
        </is>
      </c>
      <c r="S1" s="281" t="inlineStr">
        <is>
          <t>Yearly Reg Fee (oz)</t>
        </is>
      </c>
      <c r="T1" s="282" t="inlineStr">
        <is>
          <t>Yearly Release Fee (oz)</t>
        </is>
      </c>
      <c r="U1" s="283" t="inlineStr">
        <is>
          <t>Total Yearly Fees (oz)</t>
        </is>
      </c>
      <c r="V1" s="285" t="inlineStr">
        <is>
          <t>Lifetime Reg Fee (oz)</t>
        </is>
      </c>
      <c r="W1" s="286" t="inlineStr">
        <is>
          <t>Lifetime Release Fees (oz)</t>
        </is>
      </c>
      <c r="X1" s="191" t="n"/>
      <c r="Y1" s="191" t="n"/>
    </row>
    <row r="2">
      <c r="A2" s="59" t="inlineStr">
        <is>
          <t>Artisan Mine</t>
        </is>
      </c>
      <c r="B2" s="124" t="n">
        <v>11000</v>
      </c>
      <c r="C2" s="301">
        <f>Inputs!B5</f>
        <v/>
      </c>
      <c r="D2" s="299">
        <f>Inputs!E5</f>
        <v/>
      </c>
      <c r="E2" s="301">
        <f>Inputs!D6</f>
        <v/>
      </c>
      <c r="F2" s="103" t="n">
        <v>0.5</v>
      </c>
      <c r="G2" s="288">
        <f>100%-F2</f>
        <v/>
      </c>
      <c r="H2" s="289" t="n"/>
      <c r="I2" s="290">
        <f>B2*C2</f>
        <v/>
      </c>
      <c r="J2" s="299">
        <f>I2*Inputs!D6</f>
        <v/>
      </c>
      <c r="K2" s="291">
        <f>(I2-J2)/(D2-1)</f>
        <v/>
      </c>
      <c r="L2" s="292">
        <f>I2*Inputs!B9</f>
        <v/>
      </c>
      <c r="M2" s="237">
        <f>J2*Inputs!B9</f>
        <v/>
      </c>
      <c r="N2" s="293">
        <f>K2*Inputs!B9</f>
        <v/>
      </c>
      <c r="O2" s="294" t="n"/>
      <c r="P2" s="295">
        <f>S2*Inputs!B9</f>
        <v/>
      </c>
      <c r="Q2" s="296">
        <f>T2*Inputs!B9</f>
        <v/>
      </c>
      <c r="R2" s="296">
        <f>sum(P2+Q2)</f>
        <v/>
      </c>
      <c r="S2" s="297">
        <f>B2*Inputs!B25</f>
        <v/>
      </c>
      <c r="T2" s="298">
        <f>W2/D2</f>
        <v/>
      </c>
      <c r="U2" s="291">
        <f>S2+T2</f>
        <v/>
      </c>
      <c r="V2" s="299">
        <f>B2*Inputs!B25</f>
        <v/>
      </c>
      <c r="W2" s="300">
        <f>I2*Inputs!B26</f>
        <v/>
      </c>
      <c r="X2" s="105" t="n"/>
      <c r="Y2" s="133" t="n"/>
    </row>
    <row r="3">
      <c r="A3" s="59" t="inlineStr">
        <is>
          <t>Extra Small Mine</t>
        </is>
      </c>
      <c r="B3" s="124" t="n">
        <v>60000</v>
      </c>
      <c r="C3" s="301">
        <f>Inputs!B5</f>
        <v/>
      </c>
      <c r="D3" s="299">
        <f>Inputs!E5</f>
        <v/>
      </c>
      <c r="E3" s="301">
        <f>Inputs!D5</f>
        <v/>
      </c>
      <c r="F3" s="103" t="n">
        <v>0.5</v>
      </c>
      <c r="G3" s="288">
        <f>100%-F3</f>
        <v/>
      </c>
      <c r="H3" s="289" t="n"/>
      <c r="I3" s="290">
        <f>B3*C3</f>
        <v/>
      </c>
      <c r="J3" s="299">
        <f>I3*Inputs!D5</f>
        <v/>
      </c>
      <c r="K3" s="291">
        <f>(I3-J3)/(D3-1)</f>
        <v/>
      </c>
      <c r="L3" s="292">
        <f>I3*Inputs!B9</f>
        <v/>
      </c>
      <c r="M3" s="237">
        <f>J3*Inputs!B9</f>
        <v/>
      </c>
      <c r="N3" s="293">
        <f>K3*Inputs!B9</f>
        <v/>
      </c>
      <c r="O3" s="294" t="n"/>
      <c r="P3" s="295">
        <f>S3*Inputs!B9</f>
        <v/>
      </c>
      <c r="Q3" s="296">
        <f>T3*Inputs!B9</f>
        <v/>
      </c>
      <c r="R3" s="296">
        <f>sum(P3+Q3)</f>
        <v/>
      </c>
      <c r="S3" s="297">
        <f>B3*Inputs!B25</f>
        <v/>
      </c>
      <c r="T3" s="298">
        <f>W3/D3</f>
        <v/>
      </c>
      <c r="U3" s="291">
        <f>S3+T3</f>
        <v/>
      </c>
      <c r="V3" s="299">
        <f>B3*Inputs!B25</f>
        <v/>
      </c>
      <c r="W3" s="300">
        <f>I3*Inputs!B26</f>
        <v/>
      </c>
      <c r="X3" s="105" t="n"/>
      <c r="Y3" s="133" t="n"/>
    </row>
    <row r="4">
      <c r="A4" s="59" t="inlineStr">
        <is>
          <t>Small Mine</t>
        </is>
      </c>
      <c r="B4" s="124" t="n">
        <v>125000</v>
      </c>
      <c r="C4" s="301">
        <f>Inputs!B4</f>
        <v/>
      </c>
      <c r="D4" s="299">
        <f>Inputs!E4</f>
        <v/>
      </c>
      <c r="E4" s="301">
        <f>Inputs!D4</f>
        <v/>
      </c>
      <c r="F4" s="103" t="n">
        <v>0.5</v>
      </c>
      <c r="G4" s="288">
        <f>100%-F4</f>
        <v/>
      </c>
      <c r="H4" s="289" t="n"/>
      <c r="I4" s="290">
        <f>B4*C4</f>
        <v/>
      </c>
      <c r="J4" s="299">
        <f>I4*Inputs!D4</f>
        <v/>
      </c>
      <c r="K4" s="291">
        <f>(I4-J4)/(D4-1)</f>
        <v/>
      </c>
      <c r="L4" s="292">
        <f>I4*Inputs!B9</f>
        <v/>
      </c>
      <c r="M4" s="237">
        <f>J4*Inputs!B9</f>
        <v/>
      </c>
      <c r="N4" s="293">
        <f>K4*Inputs!B9</f>
        <v/>
      </c>
      <c r="O4" s="294" t="n"/>
      <c r="P4" s="295">
        <f>S4*Inputs!B9</f>
        <v/>
      </c>
      <c r="Q4" s="296">
        <f>T4*Inputs!B9</f>
        <v/>
      </c>
      <c r="R4" s="296">
        <f>sum(P4+Q4)</f>
        <v/>
      </c>
      <c r="S4" s="297">
        <f>B4*Inputs!B25</f>
        <v/>
      </c>
      <c r="T4" s="298">
        <f>W4/D4</f>
        <v/>
      </c>
      <c r="U4" s="291">
        <f>S4+T4</f>
        <v/>
      </c>
      <c r="V4" s="299">
        <f>B4*Inputs!B25</f>
        <v/>
      </c>
      <c r="W4" s="300">
        <f>I4*Inputs!B26</f>
        <v/>
      </c>
      <c r="X4" s="105" t="n"/>
      <c r="Y4" s="133" t="n"/>
    </row>
    <row r="5">
      <c r="A5" s="59" t="inlineStr">
        <is>
          <t>Medium Mine</t>
        </is>
      </c>
      <c r="B5" s="124" t="n">
        <v>500000</v>
      </c>
      <c r="C5" s="301">
        <f>Inputs!B4</f>
        <v/>
      </c>
      <c r="D5" s="299">
        <f>Inputs!E4</f>
        <v/>
      </c>
      <c r="E5" s="301">
        <f>Inputs!D4</f>
        <v/>
      </c>
      <c r="F5" s="103" t="n">
        <v>0.5</v>
      </c>
      <c r="G5" s="288">
        <f>100%-F5</f>
        <v/>
      </c>
      <c r="H5" s="289" t="n"/>
      <c r="I5" s="290">
        <f>B5*C5</f>
        <v/>
      </c>
      <c r="J5" s="299">
        <f>I5*Inputs!D4</f>
        <v/>
      </c>
      <c r="K5" s="291">
        <f>(I5-J5)/(D5-1)</f>
        <v/>
      </c>
      <c r="L5" s="292">
        <f>I5*Inputs!B9</f>
        <v/>
      </c>
      <c r="M5" s="237">
        <f>J5*Inputs!B9</f>
        <v/>
      </c>
      <c r="N5" s="293">
        <f>K5*Inputs!B9</f>
        <v/>
      </c>
      <c r="O5" s="294" t="n"/>
      <c r="P5" s="295">
        <f>S5*Inputs!B9</f>
        <v/>
      </c>
      <c r="Q5" s="296">
        <f>T5*Inputs!B9</f>
        <v/>
      </c>
      <c r="R5" s="296">
        <f>sum(P5+Q5)</f>
        <v/>
      </c>
      <c r="S5" s="297">
        <f>B5*Inputs!B25</f>
        <v/>
      </c>
      <c r="T5" s="298">
        <f>W5/D5</f>
        <v/>
      </c>
      <c r="U5" s="291">
        <f>S5+T5</f>
        <v/>
      </c>
      <c r="V5" s="299">
        <f>B5*Inputs!B26</f>
        <v/>
      </c>
      <c r="W5" s="300">
        <f>I5*Inputs!B26</f>
        <v/>
      </c>
      <c r="X5" s="105" t="n"/>
      <c r="Y5" s="133" t="n"/>
    </row>
    <row r="6">
      <c r="A6" s="59" t="inlineStr">
        <is>
          <t>Large Mine</t>
        </is>
      </c>
      <c r="B6" s="124" t="n">
        <v>1000000</v>
      </c>
      <c r="C6" s="301">
        <f>Inputs!B4</f>
        <v/>
      </c>
      <c r="D6" s="299">
        <f>Inputs!E4</f>
        <v/>
      </c>
      <c r="E6" s="301">
        <f>Inputs!D4</f>
        <v/>
      </c>
      <c r="F6" s="103" t="n">
        <v>0.5</v>
      </c>
      <c r="G6" s="288">
        <f>100%-F6</f>
        <v/>
      </c>
      <c r="H6" s="289" t="n"/>
      <c r="I6" s="290">
        <f>B6*C6</f>
        <v/>
      </c>
      <c r="J6" s="299">
        <f>I6*Inputs!D4</f>
        <v/>
      </c>
      <c r="K6" s="291">
        <f>(I6-J6)/(D6-1)</f>
        <v/>
      </c>
      <c r="L6" s="292">
        <f>I6*Inputs!B9</f>
        <v/>
      </c>
      <c r="M6" s="237">
        <f>J6*Inputs!B9</f>
        <v/>
      </c>
      <c r="N6" s="293">
        <f>K6*Inputs!B9</f>
        <v/>
      </c>
      <c r="O6" s="294" t="n"/>
      <c r="P6" s="295">
        <f>S6*Inputs!B9</f>
        <v/>
      </c>
      <c r="Q6" s="296">
        <f>T6*Inputs!B9</f>
        <v/>
      </c>
      <c r="R6" s="296">
        <f>sum(P6+Q6)</f>
        <v/>
      </c>
      <c r="S6" s="297">
        <f>B6*Inputs!B25</f>
        <v/>
      </c>
      <c r="T6" s="298">
        <f>W6/D6</f>
        <v/>
      </c>
      <c r="U6" s="291">
        <f>S6+T6</f>
        <v/>
      </c>
      <c r="V6" s="299">
        <f>B6*Inputs!B25</f>
        <v/>
      </c>
      <c r="W6" s="300">
        <f>I6*Inputs!B26</f>
        <v/>
      </c>
      <c r="X6" s="105" t="n"/>
      <c r="Y6" s="133" t="n"/>
    </row>
    <row r="7">
      <c r="A7" s="243" t="inlineStr">
        <is>
          <t>Totals</t>
        </is>
      </c>
      <c r="B7" s="302">
        <f>sum(B2:B6)</f>
        <v/>
      </c>
      <c r="C7" s="246" t="n"/>
      <c r="D7" s="246" t="n"/>
      <c r="E7" s="246" t="n"/>
      <c r="F7" s="246" t="n"/>
      <c r="G7" s="303" t="n"/>
      <c r="H7" s="304" t="n"/>
      <c r="I7" s="305">
        <f>sum(I2:I6)</f>
        <v/>
      </c>
      <c r="J7" s="246">
        <f>sum(J2:J6)</f>
        <v/>
      </c>
      <c r="K7" s="306">
        <f>sum(K2:K6)</f>
        <v/>
      </c>
      <c r="L7" s="307">
        <f>sum(L2:L6)</f>
        <v/>
      </c>
      <c r="M7" s="248">
        <f>sum(M2:M6)</f>
        <v/>
      </c>
      <c r="N7" s="308">
        <f>sum(N2:N6)</f>
        <v/>
      </c>
      <c r="O7" s="304" t="n"/>
      <c r="P7" s="309">
        <f>sum(P2:P6)</f>
        <v/>
      </c>
      <c r="Q7" s="310">
        <f>sum(Q2:Q6)</f>
        <v/>
      </c>
      <c r="R7" s="310">
        <f>sum(R2:R6)</f>
        <v/>
      </c>
      <c r="S7" s="311">
        <f>sum(S2:S6)</f>
        <v/>
      </c>
      <c r="T7" s="312">
        <f>sum(T2:T6)</f>
        <v/>
      </c>
      <c r="U7" s="306">
        <f>sum(U2:U6)</f>
        <v/>
      </c>
      <c r="V7" s="246">
        <f>sum(V2:V6)</f>
        <v/>
      </c>
      <c r="W7" s="303">
        <f>sum(W2:W6)</f>
        <v/>
      </c>
      <c r="X7" s="191" t="n"/>
      <c r="Y7" s="191" t="n"/>
    </row>
    <row r="8">
      <c r="H8" s="128" t="n"/>
      <c r="L8" s="133" t="n"/>
      <c r="O8" s="128" t="n"/>
      <c r="V8" s="133" t="n"/>
      <c r="W8" s="133" t="n"/>
    </row>
    <row r="9">
      <c r="H9" s="128" t="n"/>
      <c r="L9" s="133" t="n"/>
      <c r="O9" s="128" t="n"/>
      <c r="V9" s="133" t="n"/>
      <c r="W9" s="133" t="n"/>
    </row>
    <row r="10">
      <c r="A10" s="117" t="inlineStr">
        <is>
          <t>Mine 1</t>
        </is>
      </c>
      <c r="H10" s="128" t="n"/>
      <c r="L10" s="133" t="n"/>
      <c r="O10" s="128" t="n"/>
      <c r="V10" s="133" t="n"/>
      <c r="W10" s="133" t="n"/>
    </row>
    <row r="11">
      <c r="A11" s="117" t="inlineStr">
        <is>
          <t>Mine 2</t>
        </is>
      </c>
      <c r="H11" s="128" t="n"/>
      <c r="L11" s="133" t="n"/>
      <c r="O11" s="128" t="n"/>
      <c r="V11" s="133" t="n"/>
      <c r="W11" s="133" t="n"/>
    </row>
    <row r="12">
      <c r="A12" s="117" t="inlineStr">
        <is>
          <t>Mine 3</t>
        </is>
      </c>
      <c r="H12" s="128" t="n"/>
      <c r="L12" s="133" t="n"/>
      <c r="O12" s="128" t="n"/>
      <c r="V12" s="133" t="n"/>
      <c r="W12" s="133" t="n"/>
    </row>
    <row r="13">
      <c r="A13" s="117" t="inlineStr">
        <is>
          <t>Mine 4</t>
        </is>
      </c>
      <c r="H13" s="128" t="n"/>
      <c r="L13" s="133" t="n"/>
      <c r="O13" s="128" t="n"/>
      <c r="V13" s="133" t="n"/>
      <c r="W13" s="133" t="n"/>
    </row>
    <row r="14">
      <c r="A14" s="117" t="inlineStr">
        <is>
          <t>Mine 5</t>
        </is>
      </c>
      <c r="H14" s="128" t="n"/>
      <c r="L14" s="133" t="n"/>
      <c r="O14" s="128" t="n"/>
      <c r="V14" s="133" t="n"/>
      <c r="W14" s="133" t="n"/>
    </row>
    <row r="15">
      <c r="A15" s="117" t="inlineStr">
        <is>
          <t>Mine 6</t>
        </is>
      </c>
      <c r="H15" s="128" t="n"/>
      <c r="L15" s="133" t="n"/>
      <c r="O15" s="128" t="n"/>
      <c r="V15" s="133" t="n"/>
      <c r="W15" s="133" t="n"/>
    </row>
    <row r="16">
      <c r="A16" s="117" t="inlineStr">
        <is>
          <t>Mine 7</t>
        </is>
      </c>
      <c r="H16" s="128" t="n"/>
      <c r="L16" s="133" t="n"/>
      <c r="O16" s="128" t="n"/>
      <c r="V16" s="133" t="n"/>
      <c r="W16" s="133" t="n"/>
    </row>
    <row r="17">
      <c r="A17" s="117" t="inlineStr">
        <is>
          <t>Mine 8</t>
        </is>
      </c>
      <c r="H17" s="128" t="n"/>
      <c r="L17" s="133" t="n"/>
      <c r="O17" s="128" t="n"/>
      <c r="V17" s="133" t="n"/>
      <c r="W17" s="133" t="n"/>
    </row>
    <row r="18">
      <c r="A18" s="117" t="inlineStr">
        <is>
          <t>Mine 9</t>
        </is>
      </c>
      <c r="H18" s="128" t="n"/>
      <c r="L18" s="133" t="n"/>
      <c r="O18" s="128" t="n"/>
      <c r="V18" s="133" t="n"/>
      <c r="W18" s="133" t="n"/>
    </row>
    <row r="19">
      <c r="A19" s="117" t="inlineStr">
        <is>
          <t>Mine 10</t>
        </is>
      </c>
      <c r="H19" s="128" t="n"/>
      <c r="L19" s="133" t="n"/>
      <c r="O19" s="128" t="n"/>
      <c r="V19" s="133" t="n"/>
      <c r="W19" s="133" t="n"/>
    </row>
    <row r="20">
      <c r="A20" s="117" t="inlineStr">
        <is>
          <t>Mine 11</t>
        </is>
      </c>
      <c r="H20" s="128" t="n"/>
      <c r="L20" s="133" t="n"/>
      <c r="O20" s="128" t="n"/>
      <c r="V20" s="133" t="n"/>
      <c r="W20" s="133" t="n"/>
    </row>
    <row r="21">
      <c r="A21" s="117" t="inlineStr">
        <is>
          <t>Mine 12</t>
        </is>
      </c>
      <c r="H21" s="128" t="n"/>
      <c r="L21" s="133" t="n"/>
      <c r="O21" s="128" t="n"/>
      <c r="V21" s="133" t="n"/>
      <c r="W21" s="133" t="n"/>
    </row>
    <row r="22">
      <c r="H22" s="128" t="n"/>
      <c r="L22" s="133" t="n"/>
      <c r="O22" s="128" t="n"/>
      <c r="V22" s="133" t="n"/>
      <c r="W22" s="133" t="n"/>
    </row>
    <row r="23">
      <c r="H23" s="128" t="n"/>
      <c r="L23" s="133" t="n"/>
      <c r="O23" s="128" t="n"/>
      <c r="V23" s="133" t="n"/>
      <c r="W23" s="133" t="n"/>
    </row>
    <row r="24">
      <c r="H24" s="128" t="n"/>
      <c r="L24" s="133" t="n"/>
      <c r="O24" s="128" t="n"/>
      <c r="V24" s="133" t="n"/>
      <c r="W24" s="133" t="n"/>
    </row>
    <row r="25">
      <c r="H25" s="128" t="n"/>
      <c r="L25" s="133" t="n"/>
      <c r="O25" s="128" t="n"/>
      <c r="V25" s="133" t="n"/>
      <c r="W25" s="133" t="n"/>
    </row>
    <row r="26">
      <c r="H26" s="128" t="n"/>
      <c r="L26" s="133" t="n"/>
      <c r="O26" s="128" t="n"/>
      <c r="V26" s="133" t="n"/>
      <c r="W26" s="133" t="n"/>
    </row>
    <row r="27">
      <c r="H27" s="128" t="n"/>
      <c r="L27" s="133" t="n"/>
      <c r="O27" s="128" t="n"/>
      <c r="V27" s="133" t="n"/>
      <c r="W27" s="133" t="n"/>
    </row>
    <row r="28">
      <c r="H28" s="128" t="n"/>
      <c r="L28" s="133" t="n"/>
      <c r="O28" s="128" t="n"/>
      <c r="V28" s="133" t="n"/>
      <c r="W28" s="133" t="n"/>
    </row>
    <row r="29">
      <c r="H29" s="128" t="n"/>
      <c r="L29" s="133" t="n"/>
      <c r="O29" s="128" t="n"/>
      <c r="V29" s="133" t="n"/>
      <c r="W29" s="133" t="n"/>
    </row>
    <row r="30">
      <c r="H30" s="128" t="n"/>
      <c r="L30" s="133" t="n"/>
      <c r="O30" s="128" t="n"/>
      <c r="V30" s="133" t="n"/>
      <c r="W30" s="133" t="n"/>
    </row>
    <row r="31">
      <c r="H31" s="128" t="n"/>
      <c r="L31" s="133" t="n"/>
      <c r="O31" s="128" t="n"/>
      <c r="V31" s="133" t="n"/>
      <c r="W31" s="133" t="n"/>
    </row>
    <row r="32">
      <c r="H32" s="128" t="n"/>
      <c r="L32" s="133" t="n"/>
      <c r="O32" s="128" t="n"/>
      <c r="V32" s="133" t="n"/>
      <c r="W32" s="133" t="n"/>
    </row>
    <row r="33">
      <c r="H33" s="128" t="n"/>
      <c r="L33" s="133" t="n"/>
      <c r="O33" s="128" t="n"/>
      <c r="V33" s="133" t="n"/>
      <c r="W33" s="133" t="n"/>
    </row>
    <row r="34">
      <c r="H34" s="128" t="n"/>
      <c r="L34" s="133" t="n"/>
      <c r="O34" s="128" t="n"/>
      <c r="V34" s="133" t="n"/>
      <c r="W34" s="133" t="n"/>
    </row>
    <row r="35">
      <c r="H35" s="128" t="n"/>
      <c r="L35" s="133" t="n"/>
      <c r="O35" s="128" t="n"/>
      <c r="V35" s="133" t="n"/>
      <c r="W35" s="133" t="n"/>
    </row>
    <row r="36">
      <c r="H36" s="128" t="n"/>
      <c r="L36" s="133" t="n"/>
      <c r="O36" s="128" t="n"/>
      <c r="V36" s="133" t="n"/>
      <c r="W36" s="133" t="n"/>
    </row>
    <row r="37">
      <c r="H37" s="128" t="n"/>
      <c r="L37" s="133" t="n"/>
      <c r="O37" s="128" t="n"/>
      <c r="V37" s="133" t="n"/>
      <c r="W37" s="133" t="n"/>
    </row>
    <row r="38">
      <c r="H38" s="128" t="n"/>
      <c r="L38" s="133" t="n"/>
      <c r="O38" s="128" t="n"/>
      <c r="V38" s="133" t="n"/>
      <c r="W38" s="133" t="n"/>
    </row>
    <row r="39">
      <c r="H39" s="128" t="n"/>
      <c r="L39" s="133" t="n"/>
      <c r="O39" s="128" t="n"/>
      <c r="V39" s="133" t="n"/>
      <c r="W39" s="133" t="n"/>
    </row>
    <row r="40">
      <c r="H40" s="128" t="n"/>
      <c r="L40" s="133" t="n"/>
      <c r="O40" s="128" t="n"/>
      <c r="V40" s="133" t="n"/>
      <c r="W40" s="133" t="n"/>
    </row>
    <row r="41">
      <c r="H41" s="128" t="n"/>
      <c r="L41" s="133" t="n"/>
      <c r="O41" s="128" t="n"/>
      <c r="V41" s="133" t="n"/>
      <c r="W41" s="133" t="n"/>
    </row>
    <row r="42">
      <c r="H42" s="128" t="n"/>
      <c r="L42" s="133" t="n"/>
      <c r="O42" s="128" t="n"/>
      <c r="V42" s="133" t="n"/>
      <c r="W42" s="133" t="n"/>
    </row>
    <row r="43">
      <c r="H43" s="128" t="n"/>
      <c r="L43" s="133" t="n"/>
      <c r="O43" s="128" t="n"/>
      <c r="V43" s="133" t="n"/>
      <c r="W43" s="133" t="n"/>
    </row>
    <row r="44">
      <c r="H44" s="128" t="n"/>
      <c r="L44" s="133" t="n"/>
      <c r="O44" s="128" t="n"/>
      <c r="V44" s="133" t="n"/>
      <c r="W44" s="133" t="n"/>
    </row>
    <row r="45">
      <c r="H45" s="128" t="n"/>
      <c r="L45" s="133" t="n"/>
      <c r="O45" s="128" t="n"/>
      <c r="V45" s="133" t="n"/>
      <c r="W45" s="133" t="n"/>
    </row>
    <row r="46">
      <c r="H46" s="128" t="n"/>
      <c r="L46" s="133" t="n"/>
      <c r="O46" s="128" t="n"/>
      <c r="V46" s="133" t="n"/>
      <c r="W46" s="133" t="n"/>
    </row>
    <row r="47">
      <c r="H47" s="128" t="n"/>
      <c r="L47" s="133" t="n"/>
      <c r="O47" s="128" t="n"/>
      <c r="V47" s="133" t="n"/>
      <c r="W47" s="133" t="n"/>
    </row>
    <row r="48">
      <c r="H48" s="128" t="n"/>
      <c r="L48" s="133" t="n"/>
      <c r="O48" s="128" t="n"/>
      <c r="V48" s="133" t="n"/>
      <c r="W48" s="133" t="n"/>
    </row>
    <row r="49">
      <c r="H49" s="128" t="n"/>
      <c r="L49" s="133" t="n"/>
      <c r="O49" s="128" t="n"/>
      <c r="V49" s="133" t="n"/>
      <c r="W49" s="133" t="n"/>
    </row>
    <row r="50">
      <c r="H50" s="128" t="n"/>
      <c r="L50" s="133" t="n"/>
      <c r="O50" s="128" t="n"/>
      <c r="V50" s="133" t="n"/>
      <c r="W50" s="133" t="n"/>
    </row>
    <row r="51">
      <c r="H51" s="128" t="n"/>
      <c r="L51" s="133" t="n"/>
      <c r="O51" s="128" t="n"/>
      <c r="V51" s="133" t="n"/>
      <c r="W51" s="133" t="n"/>
    </row>
    <row r="52">
      <c r="H52" s="128" t="n"/>
      <c r="L52" s="133" t="n"/>
      <c r="O52" s="128" t="n"/>
      <c r="V52" s="133" t="n"/>
      <c r="W52" s="133" t="n"/>
    </row>
    <row r="53">
      <c r="H53" s="128" t="n"/>
      <c r="L53" s="133" t="n"/>
      <c r="O53" s="128" t="n"/>
      <c r="V53" s="133" t="n"/>
      <c r="W53" s="133" t="n"/>
    </row>
    <row r="54">
      <c r="H54" s="128" t="n"/>
      <c r="L54" s="133" t="n"/>
      <c r="O54" s="128" t="n"/>
      <c r="V54" s="133" t="n"/>
      <c r="W54" s="133" t="n"/>
    </row>
    <row r="55">
      <c r="H55" s="128" t="n"/>
      <c r="L55" s="133" t="n"/>
      <c r="O55" s="128" t="n"/>
      <c r="V55" s="133" t="n"/>
      <c r="W55" s="133" t="n"/>
    </row>
    <row r="56">
      <c r="H56" s="128" t="n"/>
      <c r="L56" s="133" t="n"/>
      <c r="O56" s="128" t="n"/>
      <c r="V56" s="133" t="n"/>
      <c r="W56" s="133" t="n"/>
    </row>
    <row r="57">
      <c r="H57" s="128" t="n"/>
      <c r="L57" s="133" t="n"/>
      <c r="O57" s="128" t="n"/>
      <c r="V57" s="133" t="n"/>
      <c r="W57" s="133" t="n"/>
    </row>
    <row r="58">
      <c r="H58" s="128" t="n"/>
      <c r="L58" s="133" t="n"/>
      <c r="O58" s="128" t="n"/>
      <c r="V58" s="133" t="n"/>
      <c r="W58" s="133" t="n"/>
    </row>
    <row r="59">
      <c r="H59" s="128" t="n"/>
      <c r="L59" s="133" t="n"/>
      <c r="O59" s="128" t="n"/>
      <c r="V59" s="133" t="n"/>
      <c r="W59" s="133" t="n"/>
    </row>
    <row r="60">
      <c r="H60" s="128" t="n"/>
      <c r="L60" s="133" t="n"/>
      <c r="O60" s="128" t="n"/>
      <c r="V60" s="133" t="n"/>
      <c r="W60" s="133" t="n"/>
    </row>
    <row r="61">
      <c r="H61" s="128" t="n"/>
      <c r="L61" s="133" t="n"/>
      <c r="O61" s="128" t="n"/>
      <c r="V61" s="133" t="n"/>
      <c r="W61" s="133" t="n"/>
    </row>
    <row r="62">
      <c r="H62" s="128" t="n"/>
      <c r="L62" s="133" t="n"/>
      <c r="O62" s="128" t="n"/>
      <c r="V62" s="133" t="n"/>
      <c r="W62" s="133" t="n"/>
    </row>
    <row r="63">
      <c r="H63" s="128" t="n"/>
      <c r="L63" s="133" t="n"/>
      <c r="O63" s="128" t="n"/>
      <c r="V63" s="133" t="n"/>
      <c r="W63" s="133" t="n"/>
    </row>
    <row r="64">
      <c r="H64" s="128" t="n"/>
      <c r="L64" s="133" t="n"/>
      <c r="O64" s="128" t="n"/>
      <c r="V64" s="133" t="n"/>
      <c r="W64" s="133" t="n"/>
    </row>
    <row r="65">
      <c r="H65" s="128" t="n"/>
      <c r="L65" s="133" t="n"/>
      <c r="O65" s="128" t="n"/>
      <c r="V65" s="133" t="n"/>
      <c r="W65" s="133" t="n"/>
    </row>
    <row r="66">
      <c r="H66" s="128" t="n"/>
      <c r="L66" s="133" t="n"/>
      <c r="O66" s="128" t="n"/>
      <c r="V66" s="133" t="n"/>
      <c r="W66" s="133" t="n"/>
    </row>
    <row r="67">
      <c r="H67" s="128" t="n"/>
      <c r="L67" s="133" t="n"/>
      <c r="O67" s="128" t="n"/>
      <c r="V67" s="133" t="n"/>
      <c r="W67" s="133" t="n"/>
    </row>
    <row r="68">
      <c r="H68" s="128" t="n"/>
      <c r="L68" s="133" t="n"/>
      <c r="O68" s="128" t="n"/>
      <c r="V68" s="133" t="n"/>
      <c r="W68" s="133" t="n"/>
    </row>
    <row r="69">
      <c r="H69" s="128" t="n"/>
      <c r="L69" s="133" t="n"/>
      <c r="O69" s="128" t="n"/>
      <c r="V69" s="133" t="n"/>
      <c r="W69" s="133" t="n"/>
    </row>
    <row r="70">
      <c r="H70" s="128" t="n"/>
      <c r="L70" s="133" t="n"/>
      <c r="O70" s="128" t="n"/>
      <c r="V70" s="133" t="n"/>
      <c r="W70" s="133" t="n"/>
    </row>
    <row r="71">
      <c r="H71" s="128" t="n"/>
      <c r="L71" s="133" t="n"/>
      <c r="O71" s="128" t="n"/>
      <c r="V71" s="133" t="n"/>
      <c r="W71" s="133" t="n"/>
    </row>
    <row r="72">
      <c r="H72" s="128" t="n"/>
      <c r="L72" s="133" t="n"/>
      <c r="O72" s="128" t="n"/>
      <c r="V72" s="133" t="n"/>
      <c r="W72" s="133" t="n"/>
    </row>
    <row r="73">
      <c r="H73" s="128" t="n"/>
      <c r="L73" s="133" t="n"/>
      <c r="O73" s="128" t="n"/>
      <c r="V73" s="133" t="n"/>
      <c r="W73" s="133" t="n"/>
    </row>
    <row r="74">
      <c r="H74" s="128" t="n"/>
      <c r="L74" s="133" t="n"/>
      <c r="O74" s="128" t="n"/>
      <c r="V74" s="133" t="n"/>
      <c r="W74" s="133" t="n"/>
    </row>
    <row r="75">
      <c r="H75" s="128" t="n"/>
      <c r="L75" s="133" t="n"/>
      <c r="O75" s="128" t="n"/>
      <c r="V75" s="133" t="n"/>
      <c r="W75" s="133" t="n"/>
    </row>
    <row r="76">
      <c r="H76" s="128" t="n"/>
      <c r="L76" s="133" t="n"/>
      <c r="O76" s="128" t="n"/>
      <c r="V76" s="133" t="n"/>
      <c r="W76" s="133" t="n"/>
    </row>
    <row r="77">
      <c r="H77" s="128" t="n"/>
      <c r="L77" s="133" t="n"/>
      <c r="O77" s="128" t="n"/>
      <c r="V77" s="133" t="n"/>
      <c r="W77" s="133" t="n"/>
    </row>
    <row r="78">
      <c r="H78" s="128" t="n"/>
      <c r="L78" s="133" t="n"/>
      <c r="O78" s="128" t="n"/>
      <c r="V78" s="133" t="n"/>
      <c r="W78" s="133" t="n"/>
    </row>
    <row r="79">
      <c r="H79" s="128" t="n"/>
      <c r="L79" s="133" t="n"/>
      <c r="O79" s="128" t="n"/>
      <c r="V79" s="133" t="n"/>
      <c r="W79" s="133" t="n"/>
    </row>
    <row r="80">
      <c r="H80" s="128" t="n"/>
      <c r="L80" s="133" t="n"/>
      <c r="O80" s="128" t="n"/>
      <c r="V80" s="133" t="n"/>
      <c r="W80" s="133" t="n"/>
    </row>
    <row r="81">
      <c r="H81" s="128" t="n"/>
      <c r="L81" s="133" t="n"/>
      <c r="O81" s="128" t="n"/>
      <c r="V81" s="133" t="n"/>
      <c r="W81" s="133" t="n"/>
    </row>
    <row r="82">
      <c r="H82" s="128" t="n"/>
      <c r="L82" s="133" t="n"/>
      <c r="O82" s="128" t="n"/>
      <c r="V82" s="133" t="n"/>
      <c r="W82" s="133" t="n"/>
    </row>
    <row r="83">
      <c r="H83" s="128" t="n"/>
      <c r="L83" s="133" t="n"/>
      <c r="O83" s="128" t="n"/>
      <c r="V83" s="133" t="n"/>
      <c r="W83" s="133" t="n"/>
    </row>
    <row r="84">
      <c r="H84" s="128" t="n"/>
      <c r="L84" s="133" t="n"/>
      <c r="O84" s="128" t="n"/>
      <c r="V84" s="133" t="n"/>
      <c r="W84" s="133" t="n"/>
    </row>
    <row r="85">
      <c r="H85" s="128" t="n"/>
      <c r="L85" s="133" t="n"/>
      <c r="O85" s="128" t="n"/>
      <c r="V85" s="133" t="n"/>
      <c r="W85" s="133" t="n"/>
    </row>
    <row r="86">
      <c r="H86" s="128" t="n"/>
      <c r="L86" s="133" t="n"/>
      <c r="O86" s="128" t="n"/>
      <c r="V86" s="133" t="n"/>
      <c r="W86" s="133" t="n"/>
    </row>
    <row r="87">
      <c r="H87" s="128" t="n"/>
      <c r="L87" s="133" t="n"/>
      <c r="O87" s="128" t="n"/>
      <c r="V87" s="133" t="n"/>
      <c r="W87" s="133" t="n"/>
    </row>
    <row r="88">
      <c r="H88" s="128" t="n"/>
      <c r="L88" s="133" t="n"/>
      <c r="O88" s="128" t="n"/>
      <c r="V88" s="133" t="n"/>
      <c r="W88" s="133" t="n"/>
    </row>
    <row r="89">
      <c r="H89" s="128" t="n"/>
      <c r="L89" s="133" t="n"/>
      <c r="O89" s="128" t="n"/>
      <c r="V89" s="133" t="n"/>
      <c r="W89" s="133" t="n"/>
    </row>
    <row r="90">
      <c r="H90" s="128" t="n"/>
      <c r="L90" s="133" t="n"/>
      <c r="O90" s="128" t="n"/>
      <c r="V90" s="133" t="n"/>
      <c r="W90" s="133" t="n"/>
    </row>
    <row r="91">
      <c r="H91" s="128" t="n"/>
      <c r="L91" s="133" t="n"/>
      <c r="O91" s="128" t="n"/>
      <c r="V91" s="133" t="n"/>
      <c r="W91" s="133" t="n"/>
    </row>
    <row r="92">
      <c r="H92" s="128" t="n"/>
      <c r="L92" s="133" t="n"/>
      <c r="O92" s="128" t="n"/>
      <c r="V92" s="133" t="n"/>
      <c r="W92" s="133" t="n"/>
    </row>
    <row r="93">
      <c r="H93" s="128" t="n"/>
      <c r="L93" s="133" t="n"/>
      <c r="O93" s="128" t="n"/>
      <c r="V93" s="133" t="n"/>
      <c r="W93" s="133" t="n"/>
    </row>
    <row r="94">
      <c r="H94" s="128" t="n"/>
      <c r="L94" s="133" t="n"/>
      <c r="O94" s="128" t="n"/>
      <c r="V94" s="133" t="n"/>
      <c r="W94" s="133" t="n"/>
    </row>
    <row r="95">
      <c r="H95" s="128" t="n"/>
      <c r="L95" s="133" t="n"/>
      <c r="O95" s="128" t="n"/>
      <c r="V95" s="133" t="n"/>
      <c r="W95" s="133" t="n"/>
    </row>
    <row r="96">
      <c r="H96" s="128" t="n"/>
      <c r="L96" s="133" t="n"/>
      <c r="O96" s="128" t="n"/>
      <c r="V96" s="133" t="n"/>
      <c r="W96" s="133" t="n"/>
    </row>
    <row r="97">
      <c r="H97" s="128" t="n"/>
      <c r="L97" s="133" t="n"/>
      <c r="O97" s="128" t="n"/>
      <c r="V97" s="133" t="n"/>
      <c r="W97" s="133" t="n"/>
    </row>
    <row r="98">
      <c r="H98" s="128" t="n"/>
      <c r="L98" s="133" t="n"/>
      <c r="O98" s="128" t="n"/>
      <c r="V98" s="133" t="n"/>
      <c r="W98" s="133" t="n"/>
    </row>
    <row r="99">
      <c r="H99" s="128" t="n"/>
      <c r="L99" s="133" t="n"/>
      <c r="O99" s="128" t="n"/>
      <c r="V99" s="133" t="n"/>
      <c r="W99" s="133" t="n"/>
    </row>
    <row r="100">
      <c r="H100" s="128" t="n"/>
      <c r="L100" s="133" t="n"/>
      <c r="O100" s="128" t="n"/>
      <c r="V100" s="133" t="n"/>
      <c r="W100" s="133" t="n"/>
    </row>
    <row r="101">
      <c r="H101" s="128" t="n"/>
      <c r="L101" s="133" t="n"/>
      <c r="O101" s="128" t="n"/>
      <c r="V101" s="133" t="n"/>
      <c r="W101" s="133" t="n"/>
    </row>
    <row r="102">
      <c r="H102" s="128" t="n"/>
      <c r="L102" s="133" t="n"/>
      <c r="O102" s="128" t="n"/>
      <c r="V102" s="133" t="n"/>
      <c r="W102" s="133" t="n"/>
    </row>
    <row r="103">
      <c r="H103" s="128" t="n"/>
      <c r="L103" s="133" t="n"/>
      <c r="O103" s="128" t="n"/>
      <c r="V103" s="133" t="n"/>
      <c r="W103" s="133" t="n"/>
    </row>
    <row r="104">
      <c r="H104" s="128" t="n"/>
      <c r="L104" s="133" t="n"/>
      <c r="O104" s="128" t="n"/>
      <c r="V104" s="133" t="n"/>
      <c r="W104" s="133" t="n"/>
    </row>
    <row r="105">
      <c r="H105" s="128" t="n"/>
      <c r="L105" s="133" t="n"/>
      <c r="O105" s="128" t="n"/>
      <c r="V105" s="133" t="n"/>
      <c r="W105" s="133" t="n"/>
    </row>
    <row r="106">
      <c r="H106" s="128" t="n"/>
      <c r="L106" s="133" t="n"/>
      <c r="O106" s="128" t="n"/>
      <c r="V106" s="133" t="n"/>
      <c r="W106" s="133" t="n"/>
    </row>
    <row r="107">
      <c r="H107" s="128" t="n"/>
      <c r="L107" s="133" t="n"/>
      <c r="O107" s="128" t="n"/>
      <c r="V107" s="133" t="n"/>
      <c r="W107" s="133" t="n"/>
    </row>
    <row r="108">
      <c r="H108" s="128" t="n"/>
      <c r="L108" s="133" t="n"/>
      <c r="O108" s="128" t="n"/>
      <c r="V108" s="133" t="n"/>
      <c r="W108" s="133" t="n"/>
    </row>
    <row r="109">
      <c r="H109" s="128" t="n"/>
      <c r="L109" s="133" t="n"/>
      <c r="O109" s="128" t="n"/>
      <c r="V109" s="133" t="n"/>
      <c r="W109" s="133" t="n"/>
    </row>
    <row r="110">
      <c r="H110" s="128" t="n"/>
      <c r="L110" s="133" t="n"/>
      <c r="O110" s="128" t="n"/>
      <c r="V110" s="133" t="n"/>
      <c r="W110" s="133" t="n"/>
    </row>
    <row r="111">
      <c r="H111" s="128" t="n"/>
      <c r="L111" s="133" t="n"/>
      <c r="O111" s="128" t="n"/>
      <c r="V111" s="133" t="n"/>
      <c r="W111" s="133" t="n"/>
    </row>
    <row r="112">
      <c r="H112" s="128" t="n"/>
      <c r="L112" s="133" t="n"/>
      <c r="O112" s="128" t="n"/>
      <c r="V112" s="133" t="n"/>
      <c r="W112" s="133" t="n"/>
    </row>
    <row r="113">
      <c r="H113" s="128" t="n"/>
      <c r="L113" s="133" t="n"/>
      <c r="O113" s="128" t="n"/>
      <c r="V113" s="133" t="n"/>
      <c r="W113" s="133" t="n"/>
    </row>
    <row r="114">
      <c r="H114" s="128" t="n"/>
      <c r="L114" s="133" t="n"/>
      <c r="O114" s="128" t="n"/>
      <c r="V114" s="133" t="n"/>
      <c r="W114" s="133" t="n"/>
    </row>
    <row r="115">
      <c r="H115" s="128" t="n"/>
      <c r="L115" s="133" t="n"/>
      <c r="O115" s="128" t="n"/>
      <c r="V115" s="133" t="n"/>
      <c r="W115" s="133" t="n"/>
    </row>
    <row r="116">
      <c r="H116" s="128" t="n"/>
      <c r="L116" s="133" t="n"/>
      <c r="O116" s="128" t="n"/>
      <c r="V116" s="133" t="n"/>
      <c r="W116" s="133" t="n"/>
    </row>
    <row r="117">
      <c r="H117" s="128" t="n"/>
      <c r="L117" s="133" t="n"/>
      <c r="O117" s="128" t="n"/>
      <c r="V117" s="133" t="n"/>
      <c r="W117" s="133" t="n"/>
    </row>
    <row r="118">
      <c r="H118" s="128" t="n"/>
      <c r="L118" s="133" t="n"/>
      <c r="O118" s="128" t="n"/>
      <c r="V118" s="133" t="n"/>
      <c r="W118" s="133" t="n"/>
    </row>
    <row r="119">
      <c r="H119" s="128" t="n"/>
      <c r="L119" s="133" t="n"/>
      <c r="O119" s="128" t="n"/>
      <c r="V119" s="133" t="n"/>
      <c r="W119" s="133" t="n"/>
    </row>
    <row r="120">
      <c r="H120" s="128" t="n"/>
      <c r="L120" s="133" t="n"/>
      <c r="O120" s="128" t="n"/>
      <c r="V120" s="133" t="n"/>
      <c r="W120" s="133" t="n"/>
    </row>
    <row r="121">
      <c r="H121" s="128" t="n"/>
      <c r="L121" s="133" t="n"/>
      <c r="O121" s="128" t="n"/>
      <c r="V121" s="133" t="n"/>
      <c r="W121" s="133" t="n"/>
    </row>
    <row r="122">
      <c r="H122" s="128" t="n"/>
      <c r="L122" s="133" t="n"/>
      <c r="O122" s="128" t="n"/>
      <c r="V122" s="133" t="n"/>
      <c r="W122" s="133" t="n"/>
    </row>
    <row r="123">
      <c r="H123" s="128" t="n"/>
      <c r="L123" s="133" t="n"/>
      <c r="O123" s="128" t="n"/>
      <c r="V123" s="133" t="n"/>
      <c r="W123" s="133" t="n"/>
    </row>
    <row r="124">
      <c r="H124" s="128" t="n"/>
      <c r="L124" s="133" t="n"/>
      <c r="O124" s="128" t="n"/>
      <c r="V124" s="133" t="n"/>
      <c r="W124" s="133" t="n"/>
    </row>
    <row r="125">
      <c r="H125" s="128" t="n"/>
      <c r="L125" s="133" t="n"/>
      <c r="O125" s="128" t="n"/>
      <c r="V125" s="133" t="n"/>
      <c r="W125" s="133" t="n"/>
    </row>
    <row r="126">
      <c r="H126" s="128" t="n"/>
      <c r="L126" s="133" t="n"/>
      <c r="O126" s="128" t="n"/>
      <c r="V126" s="133" t="n"/>
      <c r="W126" s="133" t="n"/>
    </row>
    <row r="127">
      <c r="H127" s="128" t="n"/>
      <c r="L127" s="133" t="n"/>
      <c r="O127" s="128" t="n"/>
      <c r="V127" s="133" t="n"/>
      <c r="W127" s="133" t="n"/>
    </row>
    <row r="128">
      <c r="H128" s="128" t="n"/>
      <c r="L128" s="133" t="n"/>
      <c r="O128" s="128" t="n"/>
      <c r="V128" s="133" t="n"/>
      <c r="W128" s="133" t="n"/>
    </row>
    <row r="129">
      <c r="H129" s="128" t="n"/>
      <c r="L129" s="133" t="n"/>
      <c r="O129" s="128" t="n"/>
      <c r="V129" s="133" t="n"/>
      <c r="W129" s="133" t="n"/>
    </row>
    <row r="130">
      <c r="H130" s="128" t="n"/>
      <c r="L130" s="133" t="n"/>
      <c r="O130" s="128" t="n"/>
      <c r="V130" s="133" t="n"/>
      <c r="W130" s="133" t="n"/>
    </row>
    <row r="131">
      <c r="H131" s="128" t="n"/>
      <c r="L131" s="133" t="n"/>
      <c r="O131" s="128" t="n"/>
      <c r="V131" s="133" t="n"/>
      <c r="W131" s="133" t="n"/>
    </row>
    <row r="132">
      <c r="H132" s="128" t="n"/>
      <c r="L132" s="133" t="n"/>
      <c r="O132" s="128" t="n"/>
      <c r="V132" s="133" t="n"/>
      <c r="W132" s="133" t="n"/>
    </row>
    <row r="133">
      <c r="H133" s="128" t="n"/>
      <c r="L133" s="133" t="n"/>
      <c r="O133" s="128" t="n"/>
      <c r="V133" s="133" t="n"/>
      <c r="W133" s="133" t="n"/>
    </row>
    <row r="134">
      <c r="H134" s="128" t="n"/>
      <c r="L134" s="133" t="n"/>
      <c r="O134" s="128" t="n"/>
      <c r="V134" s="133" t="n"/>
      <c r="W134" s="133" t="n"/>
    </row>
    <row r="135">
      <c r="H135" s="128" t="n"/>
      <c r="L135" s="133" t="n"/>
      <c r="O135" s="128" t="n"/>
      <c r="V135" s="133" t="n"/>
      <c r="W135" s="133" t="n"/>
    </row>
    <row r="136">
      <c r="H136" s="128" t="n"/>
      <c r="L136" s="133" t="n"/>
      <c r="O136" s="128" t="n"/>
      <c r="V136" s="133" t="n"/>
      <c r="W136" s="133" t="n"/>
    </row>
    <row r="137">
      <c r="H137" s="128" t="n"/>
      <c r="L137" s="133" t="n"/>
      <c r="O137" s="128" t="n"/>
      <c r="V137" s="133" t="n"/>
      <c r="W137" s="133" t="n"/>
    </row>
    <row r="138">
      <c r="H138" s="128" t="n"/>
      <c r="L138" s="133" t="n"/>
      <c r="O138" s="128" t="n"/>
      <c r="V138" s="133" t="n"/>
      <c r="W138" s="133" t="n"/>
    </row>
    <row r="139">
      <c r="H139" s="128" t="n"/>
      <c r="L139" s="133" t="n"/>
      <c r="O139" s="128" t="n"/>
      <c r="V139" s="133" t="n"/>
      <c r="W139" s="133" t="n"/>
    </row>
    <row r="140">
      <c r="H140" s="128" t="n"/>
      <c r="L140" s="133" t="n"/>
      <c r="O140" s="128" t="n"/>
      <c r="V140" s="133" t="n"/>
      <c r="W140" s="133" t="n"/>
    </row>
    <row r="141">
      <c r="H141" s="128" t="n"/>
      <c r="L141" s="133" t="n"/>
      <c r="O141" s="128" t="n"/>
      <c r="V141" s="133" t="n"/>
      <c r="W141" s="133" t="n"/>
    </row>
    <row r="142">
      <c r="H142" s="128" t="n"/>
      <c r="L142" s="133" t="n"/>
      <c r="O142" s="128" t="n"/>
      <c r="V142" s="133" t="n"/>
      <c r="W142" s="133" t="n"/>
    </row>
    <row r="143">
      <c r="H143" s="128" t="n"/>
      <c r="L143" s="133" t="n"/>
      <c r="O143" s="128" t="n"/>
      <c r="V143" s="133" t="n"/>
      <c r="W143" s="133" t="n"/>
    </row>
    <row r="144">
      <c r="H144" s="128" t="n"/>
      <c r="L144" s="133" t="n"/>
      <c r="O144" s="128" t="n"/>
      <c r="V144" s="133" t="n"/>
      <c r="W144" s="133" t="n"/>
    </row>
    <row r="145">
      <c r="H145" s="128" t="n"/>
      <c r="L145" s="133" t="n"/>
      <c r="O145" s="128" t="n"/>
      <c r="V145" s="133" t="n"/>
      <c r="W145" s="133" t="n"/>
    </row>
    <row r="146">
      <c r="H146" s="128" t="n"/>
      <c r="L146" s="133" t="n"/>
      <c r="O146" s="128" t="n"/>
      <c r="V146" s="133" t="n"/>
      <c r="W146" s="133" t="n"/>
    </row>
    <row r="147">
      <c r="H147" s="128" t="n"/>
      <c r="L147" s="133" t="n"/>
      <c r="O147" s="128" t="n"/>
      <c r="V147" s="133" t="n"/>
      <c r="W147" s="133" t="n"/>
    </row>
    <row r="148">
      <c r="H148" s="128" t="n"/>
      <c r="L148" s="133" t="n"/>
      <c r="O148" s="128" t="n"/>
      <c r="V148" s="133" t="n"/>
      <c r="W148" s="133" t="n"/>
    </row>
    <row r="149">
      <c r="H149" s="128" t="n"/>
      <c r="L149" s="133" t="n"/>
      <c r="O149" s="128" t="n"/>
      <c r="V149" s="133" t="n"/>
      <c r="W149" s="133" t="n"/>
    </row>
    <row r="150">
      <c r="H150" s="128" t="n"/>
      <c r="L150" s="133" t="n"/>
      <c r="O150" s="128" t="n"/>
      <c r="V150" s="133" t="n"/>
      <c r="W150" s="133" t="n"/>
    </row>
    <row r="151">
      <c r="H151" s="128" t="n"/>
      <c r="L151" s="133" t="n"/>
      <c r="O151" s="128" t="n"/>
      <c r="V151" s="133" t="n"/>
      <c r="W151" s="133" t="n"/>
    </row>
    <row r="152">
      <c r="H152" s="128" t="n"/>
      <c r="L152" s="133" t="n"/>
      <c r="O152" s="128" t="n"/>
      <c r="V152" s="133" t="n"/>
      <c r="W152" s="133" t="n"/>
    </row>
    <row r="153">
      <c r="H153" s="128" t="n"/>
      <c r="L153" s="133" t="n"/>
      <c r="O153" s="128" t="n"/>
      <c r="V153" s="133" t="n"/>
      <c r="W153" s="133" t="n"/>
    </row>
    <row r="154">
      <c r="H154" s="128" t="n"/>
      <c r="L154" s="133" t="n"/>
      <c r="O154" s="128" t="n"/>
      <c r="V154" s="133" t="n"/>
      <c r="W154" s="133" t="n"/>
    </row>
    <row r="155">
      <c r="H155" s="128" t="n"/>
      <c r="L155" s="133" t="n"/>
      <c r="O155" s="128" t="n"/>
      <c r="V155" s="133" t="n"/>
      <c r="W155" s="133" t="n"/>
    </row>
    <row r="156">
      <c r="H156" s="128" t="n"/>
      <c r="L156" s="133" t="n"/>
      <c r="O156" s="128" t="n"/>
      <c r="V156" s="133" t="n"/>
      <c r="W156" s="133" t="n"/>
    </row>
    <row r="157">
      <c r="H157" s="128" t="n"/>
      <c r="L157" s="133" t="n"/>
      <c r="O157" s="128" t="n"/>
      <c r="V157" s="133" t="n"/>
      <c r="W157" s="133" t="n"/>
    </row>
    <row r="158">
      <c r="H158" s="128" t="n"/>
      <c r="L158" s="133" t="n"/>
      <c r="O158" s="128" t="n"/>
      <c r="V158" s="133" t="n"/>
      <c r="W158" s="133" t="n"/>
    </row>
    <row r="159">
      <c r="H159" s="128" t="n"/>
      <c r="L159" s="133" t="n"/>
      <c r="O159" s="128" t="n"/>
      <c r="V159" s="133" t="n"/>
      <c r="W159" s="133" t="n"/>
    </row>
    <row r="160">
      <c r="H160" s="128" t="n"/>
      <c r="L160" s="133" t="n"/>
      <c r="O160" s="128" t="n"/>
      <c r="V160" s="133" t="n"/>
      <c r="W160" s="133" t="n"/>
    </row>
    <row r="161">
      <c r="H161" s="128" t="n"/>
      <c r="L161" s="133" t="n"/>
      <c r="O161" s="128" t="n"/>
      <c r="V161" s="133" t="n"/>
      <c r="W161" s="133" t="n"/>
    </row>
    <row r="162">
      <c r="H162" s="128" t="n"/>
      <c r="L162" s="133" t="n"/>
      <c r="O162" s="128" t="n"/>
      <c r="V162" s="133" t="n"/>
      <c r="W162" s="133" t="n"/>
    </row>
    <row r="163">
      <c r="H163" s="128" t="n"/>
      <c r="L163" s="133" t="n"/>
      <c r="O163" s="128" t="n"/>
      <c r="V163" s="133" t="n"/>
      <c r="W163" s="133" t="n"/>
    </row>
    <row r="164">
      <c r="H164" s="128" t="n"/>
      <c r="L164" s="133" t="n"/>
      <c r="O164" s="128" t="n"/>
      <c r="V164" s="133" t="n"/>
      <c r="W164" s="133" t="n"/>
    </row>
    <row r="165">
      <c r="H165" s="128" t="n"/>
      <c r="L165" s="133" t="n"/>
      <c r="O165" s="128" t="n"/>
      <c r="V165" s="133" t="n"/>
      <c r="W165" s="133" t="n"/>
    </row>
    <row r="166">
      <c r="H166" s="128" t="n"/>
      <c r="L166" s="133" t="n"/>
      <c r="O166" s="128" t="n"/>
      <c r="V166" s="133" t="n"/>
      <c r="W166" s="133" t="n"/>
    </row>
    <row r="167">
      <c r="H167" s="128" t="n"/>
      <c r="L167" s="133" t="n"/>
      <c r="O167" s="128" t="n"/>
      <c r="V167" s="133" t="n"/>
      <c r="W167" s="133" t="n"/>
    </row>
    <row r="168">
      <c r="H168" s="128" t="n"/>
      <c r="L168" s="133" t="n"/>
      <c r="O168" s="128" t="n"/>
      <c r="V168" s="133" t="n"/>
      <c r="W168" s="133" t="n"/>
    </row>
    <row r="169">
      <c r="H169" s="128" t="n"/>
      <c r="L169" s="133" t="n"/>
      <c r="O169" s="128" t="n"/>
      <c r="V169" s="133" t="n"/>
      <c r="W169" s="133" t="n"/>
    </row>
    <row r="170">
      <c r="H170" s="128" t="n"/>
      <c r="L170" s="133" t="n"/>
      <c r="O170" s="128" t="n"/>
      <c r="V170" s="133" t="n"/>
      <c r="W170" s="133" t="n"/>
    </row>
    <row r="171">
      <c r="H171" s="128" t="n"/>
      <c r="L171" s="133" t="n"/>
      <c r="O171" s="128" t="n"/>
      <c r="V171" s="133" t="n"/>
      <c r="W171" s="133" t="n"/>
    </row>
    <row r="172">
      <c r="H172" s="128" t="n"/>
      <c r="L172" s="133" t="n"/>
      <c r="O172" s="128" t="n"/>
      <c r="V172" s="133" t="n"/>
      <c r="W172" s="133" t="n"/>
    </row>
    <row r="173">
      <c r="H173" s="128" t="n"/>
      <c r="L173" s="133" t="n"/>
      <c r="O173" s="128" t="n"/>
      <c r="V173" s="133" t="n"/>
      <c r="W173" s="133" t="n"/>
    </row>
    <row r="174">
      <c r="H174" s="128" t="n"/>
      <c r="L174" s="133" t="n"/>
      <c r="O174" s="128" t="n"/>
      <c r="V174" s="133" t="n"/>
      <c r="W174" s="133" t="n"/>
    </row>
    <row r="175">
      <c r="H175" s="128" t="n"/>
      <c r="L175" s="133" t="n"/>
      <c r="O175" s="128" t="n"/>
      <c r="V175" s="133" t="n"/>
      <c r="W175" s="133" t="n"/>
    </row>
    <row r="176">
      <c r="H176" s="128" t="n"/>
      <c r="L176" s="133" t="n"/>
      <c r="O176" s="128" t="n"/>
      <c r="V176" s="133" t="n"/>
      <c r="W176" s="133" t="n"/>
    </row>
    <row r="177">
      <c r="H177" s="128" t="n"/>
      <c r="L177" s="133" t="n"/>
      <c r="O177" s="128" t="n"/>
      <c r="V177" s="133" t="n"/>
      <c r="W177" s="133" t="n"/>
    </row>
    <row r="178">
      <c r="H178" s="128" t="n"/>
      <c r="L178" s="133" t="n"/>
      <c r="O178" s="128" t="n"/>
      <c r="V178" s="133" t="n"/>
      <c r="W178" s="133" t="n"/>
    </row>
    <row r="179">
      <c r="H179" s="128" t="n"/>
      <c r="L179" s="133" t="n"/>
      <c r="O179" s="128" t="n"/>
      <c r="V179" s="133" t="n"/>
      <c r="W179" s="133" t="n"/>
    </row>
    <row r="180">
      <c r="H180" s="128" t="n"/>
      <c r="L180" s="133" t="n"/>
      <c r="O180" s="128" t="n"/>
      <c r="V180" s="133" t="n"/>
      <c r="W180" s="133" t="n"/>
    </row>
    <row r="181">
      <c r="H181" s="128" t="n"/>
      <c r="L181" s="133" t="n"/>
      <c r="O181" s="128" t="n"/>
      <c r="V181" s="133" t="n"/>
      <c r="W181" s="133" t="n"/>
    </row>
    <row r="182">
      <c r="H182" s="128" t="n"/>
      <c r="L182" s="133" t="n"/>
      <c r="O182" s="128" t="n"/>
      <c r="V182" s="133" t="n"/>
      <c r="W182" s="133" t="n"/>
    </row>
    <row r="183">
      <c r="H183" s="128" t="n"/>
      <c r="L183" s="133" t="n"/>
      <c r="O183" s="128" t="n"/>
      <c r="V183" s="133" t="n"/>
      <c r="W183" s="133" t="n"/>
    </row>
    <row r="184">
      <c r="H184" s="128" t="n"/>
      <c r="L184" s="133" t="n"/>
      <c r="O184" s="128" t="n"/>
      <c r="V184" s="133" t="n"/>
      <c r="W184" s="133" t="n"/>
    </row>
    <row r="185">
      <c r="H185" s="128" t="n"/>
      <c r="L185" s="133" t="n"/>
      <c r="O185" s="128" t="n"/>
      <c r="V185" s="133" t="n"/>
      <c r="W185" s="133" t="n"/>
    </row>
    <row r="186">
      <c r="H186" s="128" t="n"/>
      <c r="L186" s="133" t="n"/>
      <c r="O186" s="128" t="n"/>
      <c r="V186" s="133" t="n"/>
      <c r="W186" s="133" t="n"/>
    </row>
    <row r="187">
      <c r="H187" s="128" t="n"/>
      <c r="L187" s="133" t="n"/>
      <c r="O187" s="128" t="n"/>
      <c r="V187" s="133" t="n"/>
      <c r="W187" s="133" t="n"/>
    </row>
    <row r="188">
      <c r="H188" s="128" t="n"/>
      <c r="L188" s="133" t="n"/>
      <c r="O188" s="128" t="n"/>
      <c r="V188" s="133" t="n"/>
      <c r="W188" s="133" t="n"/>
    </row>
    <row r="189">
      <c r="H189" s="128" t="n"/>
      <c r="L189" s="133" t="n"/>
      <c r="O189" s="128" t="n"/>
      <c r="V189" s="133" t="n"/>
      <c r="W189" s="133" t="n"/>
    </row>
    <row r="190">
      <c r="H190" s="128" t="n"/>
      <c r="L190" s="133" t="n"/>
      <c r="O190" s="128" t="n"/>
      <c r="V190" s="133" t="n"/>
      <c r="W190" s="133" t="n"/>
    </row>
    <row r="191">
      <c r="H191" s="128" t="n"/>
      <c r="L191" s="133" t="n"/>
      <c r="O191" s="128" t="n"/>
      <c r="V191" s="133" t="n"/>
      <c r="W191" s="133" t="n"/>
    </row>
    <row r="192">
      <c r="H192" s="128" t="n"/>
      <c r="L192" s="133" t="n"/>
      <c r="O192" s="128" t="n"/>
      <c r="V192" s="133" t="n"/>
      <c r="W192" s="133" t="n"/>
    </row>
    <row r="193">
      <c r="H193" s="128" t="n"/>
      <c r="L193" s="133" t="n"/>
      <c r="O193" s="128" t="n"/>
      <c r="V193" s="133" t="n"/>
      <c r="W193" s="133" t="n"/>
    </row>
    <row r="194">
      <c r="H194" s="128" t="n"/>
      <c r="L194" s="133" t="n"/>
      <c r="O194" s="128" t="n"/>
      <c r="V194" s="133" t="n"/>
      <c r="W194" s="133" t="n"/>
    </row>
    <row r="195">
      <c r="H195" s="128" t="n"/>
      <c r="L195" s="133" t="n"/>
      <c r="O195" s="128" t="n"/>
      <c r="V195" s="133" t="n"/>
      <c r="W195" s="133" t="n"/>
    </row>
    <row r="196">
      <c r="H196" s="128" t="n"/>
      <c r="L196" s="133" t="n"/>
      <c r="O196" s="128" t="n"/>
      <c r="V196" s="133" t="n"/>
      <c r="W196" s="133" t="n"/>
    </row>
    <row r="197">
      <c r="H197" s="128" t="n"/>
      <c r="L197" s="133" t="n"/>
      <c r="O197" s="128" t="n"/>
      <c r="V197" s="133" t="n"/>
      <c r="W197" s="133" t="n"/>
    </row>
    <row r="198">
      <c r="H198" s="128" t="n"/>
      <c r="L198" s="133" t="n"/>
      <c r="O198" s="128" t="n"/>
      <c r="V198" s="133" t="n"/>
      <c r="W198" s="133" t="n"/>
    </row>
    <row r="199">
      <c r="H199" s="128" t="n"/>
      <c r="L199" s="133" t="n"/>
      <c r="O199" s="128" t="n"/>
      <c r="V199" s="133" t="n"/>
      <c r="W199" s="133" t="n"/>
    </row>
    <row r="200">
      <c r="H200" s="128" t="n"/>
      <c r="L200" s="133" t="n"/>
      <c r="O200" s="128" t="n"/>
      <c r="V200" s="133" t="n"/>
      <c r="W200" s="133" t="n"/>
    </row>
    <row r="201">
      <c r="H201" s="128" t="n"/>
      <c r="L201" s="133" t="n"/>
      <c r="O201" s="128" t="n"/>
      <c r="V201" s="133" t="n"/>
      <c r="W201" s="133" t="n"/>
    </row>
    <row r="202">
      <c r="H202" s="128" t="n"/>
      <c r="L202" s="133" t="n"/>
      <c r="O202" s="128" t="n"/>
      <c r="V202" s="133" t="n"/>
      <c r="W202" s="133" t="n"/>
    </row>
    <row r="203">
      <c r="H203" s="128" t="n"/>
      <c r="L203" s="133" t="n"/>
      <c r="O203" s="128" t="n"/>
      <c r="V203" s="133" t="n"/>
      <c r="W203" s="133" t="n"/>
    </row>
    <row r="204">
      <c r="H204" s="128" t="n"/>
      <c r="L204" s="133" t="n"/>
      <c r="O204" s="128" t="n"/>
      <c r="V204" s="133" t="n"/>
      <c r="W204" s="133" t="n"/>
    </row>
    <row r="205">
      <c r="H205" s="128" t="n"/>
      <c r="L205" s="133" t="n"/>
      <c r="O205" s="128" t="n"/>
      <c r="V205" s="133" t="n"/>
      <c r="W205" s="133" t="n"/>
    </row>
    <row r="206">
      <c r="H206" s="128" t="n"/>
      <c r="L206" s="133" t="n"/>
      <c r="O206" s="128" t="n"/>
      <c r="V206" s="133" t="n"/>
      <c r="W206" s="133" t="n"/>
    </row>
    <row r="207">
      <c r="H207" s="128" t="n"/>
      <c r="L207" s="133" t="n"/>
      <c r="O207" s="128" t="n"/>
      <c r="V207" s="133" t="n"/>
      <c r="W207" s="133" t="n"/>
    </row>
    <row r="208">
      <c r="H208" s="128" t="n"/>
      <c r="L208" s="133" t="n"/>
      <c r="O208" s="128" t="n"/>
      <c r="V208" s="133" t="n"/>
      <c r="W208" s="133" t="n"/>
    </row>
    <row r="209">
      <c r="H209" s="128" t="n"/>
      <c r="L209" s="133" t="n"/>
      <c r="O209" s="128" t="n"/>
      <c r="V209" s="133" t="n"/>
      <c r="W209" s="133" t="n"/>
    </row>
    <row r="210">
      <c r="H210" s="128" t="n"/>
      <c r="L210" s="133" t="n"/>
      <c r="O210" s="128" t="n"/>
      <c r="V210" s="133" t="n"/>
      <c r="W210" s="133" t="n"/>
    </row>
    <row r="211">
      <c r="H211" s="128" t="n"/>
      <c r="L211" s="133" t="n"/>
      <c r="O211" s="128" t="n"/>
      <c r="V211" s="133" t="n"/>
      <c r="W211" s="133" t="n"/>
    </row>
    <row r="212">
      <c r="H212" s="128" t="n"/>
      <c r="L212" s="133" t="n"/>
      <c r="O212" s="128" t="n"/>
      <c r="V212" s="133" t="n"/>
      <c r="W212" s="133" t="n"/>
    </row>
    <row r="213">
      <c r="H213" s="128" t="n"/>
      <c r="L213" s="133" t="n"/>
      <c r="O213" s="128" t="n"/>
      <c r="V213" s="133" t="n"/>
      <c r="W213" s="133" t="n"/>
    </row>
    <row r="214">
      <c r="H214" s="128" t="n"/>
      <c r="L214" s="133" t="n"/>
      <c r="O214" s="128" t="n"/>
      <c r="V214" s="133" t="n"/>
      <c r="W214" s="133" t="n"/>
    </row>
    <row r="215">
      <c r="H215" s="128" t="n"/>
      <c r="L215" s="133" t="n"/>
      <c r="O215" s="128" t="n"/>
      <c r="V215" s="133" t="n"/>
      <c r="W215" s="133" t="n"/>
    </row>
    <row r="216">
      <c r="H216" s="128" t="n"/>
      <c r="L216" s="133" t="n"/>
      <c r="O216" s="128" t="n"/>
      <c r="V216" s="133" t="n"/>
      <c r="W216" s="133" t="n"/>
    </row>
    <row r="217">
      <c r="H217" s="128" t="n"/>
      <c r="L217" s="133" t="n"/>
      <c r="O217" s="128" t="n"/>
      <c r="V217" s="133" t="n"/>
      <c r="W217" s="133" t="n"/>
    </row>
    <row r="218">
      <c r="H218" s="128" t="n"/>
      <c r="L218" s="133" t="n"/>
      <c r="O218" s="128" t="n"/>
      <c r="V218" s="133" t="n"/>
      <c r="W218" s="133" t="n"/>
    </row>
    <row r="219">
      <c r="H219" s="128" t="n"/>
      <c r="L219" s="133" t="n"/>
      <c r="O219" s="128" t="n"/>
      <c r="V219" s="133" t="n"/>
      <c r="W219" s="133" t="n"/>
    </row>
    <row r="220">
      <c r="H220" s="128" t="n"/>
      <c r="L220" s="133" t="n"/>
      <c r="O220" s="128" t="n"/>
      <c r="V220" s="133" t="n"/>
      <c r="W220" s="133" t="n"/>
    </row>
    <row r="221">
      <c r="H221" s="128" t="n"/>
      <c r="L221" s="133" t="n"/>
      <c r="O221" s="128" t="n"/>
      <c r="V221" s="133" t="n"/>
      <c r="W221" s="133" t="n"/>
    </row>
    <row r="222">
      <c r="H222" s="128" t="n"/>
      <c r="L222" s="133" t="n"/>
      <c r="O222" s="128" t="n"/>
      <c r="V222" s="133" t="n"/>
      <c r="W222" s="133" t="n"/>
    </row>
    <row r="223">
      <c r="H223" s="128" t="n"/>
      <c r="L223" s="133" t="n"/>
      <c r="O223" s="128" t="n"/>
      <c r="V223" s="133" t="n"/>
      <c r="W223" s="133" t="n"/>
    </row>
    <row r="224">
      <c r="H224" s="128" t="n"/>
      <c r="L224" s="133" t="n"/>
      <c r="O224" s="128" t="n"/>
      <c r="V224" s="133" t="n"/>
      <c r="W224" s="133" t="n"/>
    </row>
    <row r="225">
      <c r="H225" s="128" t="n"/>
      <c r="L225" s="133" t="n"/>
      <c r="O225" s="128" t="n"/>
      <c r="V225" s="133" t="n"/>
      <c r="W225" s="133" t="n"/>
    </row>
    <row r="226">
      <c r="H226" s="128" t="n"/>
      <c r="L226" s="133" t="n"/>
      <c r="O226" s="128" t="n"/>
      <c r="V226" s="133" t="n"/>
      <c r="W226" s="133" t="n"/>
    </row>
    <row r="227">
      <c r="H227" s="128" t="n"/>
      <c r="L227" s="133" t="n"/>
      <c r="O227" s="128" t="n"/>
      <c r="V227" s="133" t="n"/>
      <c r="W227" s="133" t="n"/>
    </row>
    <row r="228">
      <c r="H228" s="128" t="n"/>
      <c r="L228" s="133" t="n"/>
      <c r="O228" s="128" t="n"/>
      <c r="V228" s="133" t="n"/>
      <c r="W228" s="133" t="n"/>
    </row>
    <row r="229">
      <c r="H229" s="128" t="n"/>
      <c r="L229" s="133" t="n"/>
      <c r="O229" s="128" t="n"/>
      <c r="V229" s="133" t="n"/>
      <c r="W229" s="133" t="n"/>
    </row>
    <row r="230">
      <c r="H230" s="128" t="n"/>
      <c r="L230" s="133" t="n"/>
      <c r="O230" s="128" t="n"/>
      <c r="V230" s="133" t="n"/>
      <c r="W230" s="133" t="n"/>
    </row>
    <row r="231">
      <c r="H231" s="128" t="n"/>
      <c r="L231" s="133" t="n"/>
      <c r="O231" s="128" t="n"/>
      <c r="V231" s="133" t="n"/>
      <c r="W231" s="133" t="n"/>
    </row>
    <row r="232">
      <c r="H232" s="128" t="n"/>
      <c r="L232" s="133" t="n"/>
      <c r="O232" s="128" t="n"/>
      <c r="V232" s="133" t="n"/>
      <c r="W232" s="133" t="n"/>
    </row>
    <row r="233">
      <c r="H233" s="128" t="n"/>
      <c r="L233" s="133" t="n"/>
      <c r="O233" s="128" t="n"/>
      <c r="V233" s="133" t="n"/>
      <c r="W233" s="133" t="n"/>
    </row>
    <row r="234">
      <c r="H234" s="128" t="n"/>
      <c r="L234" s="133" t="n"/>
      <c r="O234" s="128" t="n"/>
      <c r="V234" s="133" t="n"/>
      <c r="W234" s="133" t="n"/>
    </row>
    <row r="235">
      <c r="H235" s="128" t="n"/>
      <c r="L235" s="133" t="n"/>
      <c r="O235" s="128" t="n"/>
      <c r="V235" s="133" t="n"/>
      <c r="W235" s="133" t="n"/>
    </row>
    <row r="236">
      <c r="H236" s="128" t="n"/>
      <c r="L236" s="133" t="n"/>
      <c r="O236" s="128" t="n"/>
      <c r="V236" s="133" t="n"/>
      <c r="W236" s="133" t="n"/>
    </row>
    <row r="237">
      <c r="H237" s="128" t="n"/>
      <c r="L237" s="133" t="n"/>
      <c r="O237" s="128" t="n"/>
      <c r="V237" s="133" t="n"/>
      <c r="W237" s="133" t="n"/>
    </row>
    <row r="238">
      <c r="H238" s="128" t="n"/>
      <c r="L238" s="133" t="n"/>
      <c r="O238" s="128" t="n"/>
      <c r="V238" s="133" t="n"/>
      <c r="W238" s="133" t="n"/>
    </row>
    <row r="239">
      <c r="H239" s="128" t="n"/>
      <c r="L239" s="133" t="n"/>
      <c r="O239" s="128" t="n"/>
      <c r="V239" s="133" t="n"/>
      <c r="W239" s="133" t="n"/>
    </row>
    <row r="240">
      <c r="H240" s="128" t="n"/>
      <c r="L240" s="133" t="n"/>
      <c r="O240" s="128" t="n"/>
      <c r="V240" s="133" t="n"/>
      <c r="W240" s="133" t="n"/>
    </row>
    <row r="241">
      <c r="H241" s="128" t="n"/>
      <c r="L241" s="133" t="n"/>
      <c r="O241" s="128" t="n"/>
      <c r="V241" s="133" t="n"/>
      <c r="W241" s="133" t="n"/>
    </row>
    <row r="242">
      <c r="H242" s="128" t="n"/>
      <c r="L242" s="133" t="n"/>
      <c r="O242" s="128" t="n"/>
      <c r="V242" s="133" t="n"/>
      <c r="W242" s="133" t="n"/>
    </row>
    <row r="243">
      <c r="H243" s="128" t="n"/>
      <c r="L243" s="133" t="n"/>
      <c r="O243" s="128" t="n"/>
      <c r="V243" s="133" t="n"/>
      <c r="W243" s="133" t="n"/>
    </row>
    <row r="244">
      <c r="H244" s="128" t="n"/>
      <c r="L244" s="133" t="n"/>
      <c r="O244" s="128" t="n"/>
      <c r="V244" s="133" t="n"/>
      <c r="W244" s="133" t="n"/>
    </row>
    <row r="245">
      <c r="H245" s="128" t="n"/>
      <c r="L245" s="133" t="n"/>
      <c r="O245" s="128" t="n"/>
      <c r="V245" s="133" t="n"/>
      <c r="W245" s="133" t="n"/>
    </row>
    <row r="246">
      <c r="H246" s="128" t="n"/>
      <c r="L246" s="133" t="n"/>
      <c r="O246" s="128" t="n"/>
      <c r="V246" s="133" t="n"/>
      <c r="W246" s="133" t="n"/>
    </row>
    <row r="247">
      <c r="H247" s="128" t="n"/>
      <c r="L247" s="133" t="n"/>
      <c r="O247" s="128" t="n"/>
      <c r="V247" s="133" t="n"/>
      <c r="W247" s="133" t="n"/>
    </row>
    <row r="248">
      <c r="H248" s="128" t="n"/>
      <c r="L248" s="133" t="n"/>
      <c r="O248" s="128" t="n"/>
      <c r="V248" s="133" t="n"/>
      <c r="W248" s="133" t="n"/>
    </row>
    <row r="249">
      <c r="H249" s="128" t="n"/>
      <c r="L249" s="133" t="n"/>
      <c r="O249" s="128" t="n"/>
      <c r="V249" s="133" t="n"/>
      <c r="W249" s="133" t="n"/>
    </row>
    <row r="250">
      <c r="H250" s="128" t="n"/>
      <c r="L250" s="133" t="n"/>
      <c r="O250" s="128" t="n"/>
      <c r="V250" s="133" t="n"/>
      <c r="W250" s="133" t="n"/>
    </row>
    <row r="251">
      <c r="H251" s="128" t="n"/>
      <c r="L251" s="133" t="n"/>
      <c r="O251" s="128" t="n"/>
      <c r="V251" s="133" t="n"/>
      <c r="W251" s="133" t="n"/>
    </row>
    <row r="252">
      <c r="H252" s="128" t="n"/>
      <c r="L252" s="133" t="n"/>
      <c r="O252" s="128" t="n"/>
      <c r="V252" s="133" t="n"/>
      <c r="W252" s="133" t="n"/>
    </row>
    <row r="253">
      <c r="H253" s="128" t="n"/>
      <c r="L253" s="133" t="n"/>
      <c r="O253" s="128" t="n"/>
      <c r="V253" s="133" t="n"/>
      <c r="W253" s="133" t="n"/>
    </row>
    <row r="254">
      <c r="H254" s="128" t="n"/>
      <c r="L254" s="133" t="n"/>
      <c r="O254" s="128" t="n"/>
      <c r="V254" s="133" t="n"/>
      <c r="W254" s="133" t="n"/>
    </row>
    <row r="255">
      <c r="H255" s="128" t="n"/>
      <c r="L255" s="133" t="n"/>
      <c r="O255" s="128" t="n"/>
      <c r="V255" s="133" t="n"/>
      <c r="W255" s="133" t="n"/>
    </row>
    <row r="256">
      <c r="H256" s="128" t="n"/>
      <c r="L256" s="133" t="n"/>
      <c r="O256" s="128" t="n"/>
      <c r="V256" s="133" t="n"/>
      <c r="W256" s="133" t="n"/>
    </row>
    <row r="257">
      <c r="H257" s="128" t="n"/>
      <c r="L257" s="133" t="n"/>
      <c r="O257" s="128" t="n"/>
      <c r="V257" s="133" t="n"/>
      <c r="W257" s="133" t="n"/>
    </row>
    <row r="258">
      <c r="H258" s="128" t="n"/>
      <c r="L258" s="133" t="n"/>
      <c r="O258" s="128" t="n"/>
      <c r="V258" s="133" t="n"/>
      <c r="W258" s="133" t="n"/>
    </row>
    <row r="259">
      <c r="H259" s="128" t="n"/>
      <c r="L259" s="133" t="n"/>
      <c r="O259" s="128" t="n"/>
      <c r="V259" s="133" t="n"/>
      <c r="W259" s="133" t="n"/>
    </row>
    <row r="260">
      <c r="H260" s="128" t="n"/>
      <c r="L260" s="133" t="n"/>
      <c r="O260" s="128" t="n"/>
      <c r="V260" s="133" t="n"/>
      <c r="W260" s="133" t="n"/>
    </row>
    <row r="261">
      <c r="H261" s="128" t="n"/>
      <c r="L261" s="133" t="n"/>
      <c r="O261" s="128" t="n"/>
      <c r="V261" s="133" t="n"/>
      <c r="W261" s="133" t="n"/>
    </row>
    <row r="262">
      <c r="H262" s="128" t="n"/>
      <c r="L262" s="133" t="n"/>
      <c r="O262" s="128" t="n"/>
      <c r="V262" s="133" t="n"/>
      <c r="W262" s="133" t="n"/>
    </row>
    <row r="263">
      <c r="H263" s="128" t="n"/>
      <c r="L263" s="133" t="n"/>
      <c r="O263" s="128" t="n"/>
      <c r="V263" s="133" t="n"/>
      <c r="W263" s="133" t="n"/>
    </row>
    <row r="264">
      <c r="H264" s="128" t="n"/>
      <c r="L264" s="133" t="n"/>
      <c r="O264" s="128" t="n"/>
      <c r="V264" s="133" t="n"/>
      <c r="W264" s="133" t="n"/>
    </row>
    <row r="265">
      <c r="H265" s="128" t="n"/>
      <c r="L265" s="133" t="n"/>
      <c r="O265" s="128" t="n"/>
      <c r="V265" s="133" t="n"/>
      <c r="W265" s="133" t="n"/>
    </row>
    <row r="266">
      <c r="H266" s="128" t="n"/>
      <c r="L266" s="133" t="n"/>
      <c r="O266" s="128" t="n"/>
      <c r="V266" s="133" t="n"/>
      <c r="W266" s="133" t="n"/>
    </row>
    <row r="267">
      <c r="H267" s="128" t="n"/>
      <c r="L267" s="133" t="n"/>
      <c r="O267" s="128" t="n"/>
      <c r="V267" s="133" t="n"/>
      <c r="W267" s="133" t="n"/>
    </row>
    <row r="268">
      <c r="H268" s="128" t="n"/>
      <c r="L268" s="133" t="n"/>
      <c r="O268" s="128" t="n"/>
      <c r="V268" s="133" t="n"/>
      <c r="W268" s="133" t="n"/>
    </row>
    <row r="269">
      <c r="H269" s="128" t="n"/>
      <c r="L269" s="133" t="n"/>
      <c r="O269" s="128" t="n"/>
      <c r="V269" s="133" t="n"/>
      <c r="W269" s="133" t="n"/>
    </row>
    <row r="270">
      <c r="H270" s="128" t="n"/>
      <c r="L270" s="133" t="n"/>
      <c r="O270" s="128" t="n"/>
      <c r="V270" s="133" t="n"/>
      <c r="W270" s="133" t="n"/>
    </row>
    <row r="271">
      <c r="H271" s="128" t="n"/>
      <c r="L271" s="133" t="n"/>
      <c r="O271" s="128" t="n"/>
      <c r="V271" s="133" t="n"/>
      <c r="W271" s="133" t="n"/>
    </row>
    <row r="272">
      <c r="H272" s="128" t="n"/>
      <c r="L272" s="133" t="n"/>
      <c r="O272" s="128" t="n"/>
      <c r="V272" s="133" t="n"/>
      <c r="W272" s="133" t="n"/>
    </row>
    <row r="273">
      <c r="H273" s="128" t="n"/>
      <c r="L273" s="133" t="n"/>
      <c r="O273" s="128" t="n"/>
      <c r="V273" s="133" t="n"/>
      <c r="W273" s="133" t="n"/>
    </row>
    <row r="274">
      <c r="H274" s="128" t="n"/>
      <c r="L274" s="133" t="n"/>
      <c r="O274" s="128" t="n"/>
      <c r="V274" s="133" t="n"/>
      <c r="W274" s="133" t="n"/>
    </row>
    <row r="275">
      <c r="H275" s="128" t="n"/>
      <c r="L275" s="133" t="n"/>
      <c r="O275" s="128" t="n"/>
      <c r="V275" s="133" t="n"/>
      <c r="W275" s="133" t="n"/>
    </row>
    <row r="276">
      <c r="H276" s="128" t="n"/>
      <c r="L276" s="133" t="n"/>
      <c r="O276" s="128" t="n"/>
      <c r="V276" s="133" t="n"/>
      <c r="W276" s="133" t="n"/>
    </row>
    <row r="277">
      <c r="H277" s="128" t="n"/>
      <c r="L277" s="133" t="n"/>
      <c r="O277" s="128" t="n"/>
      <c r="V277" s="133" t="n"/>
      <c r="W277" s="133" t="n"/>
    </row>
    <row r="278">
      <c r="H278" s="128" t="n"/>
      <c r="L278" s="133" t="n"/>
      <c r="O278" s="128" t="n"/>
      <c r="V278" s="133" t="n"/>
      <c r="W278" s="133" t="n"/>
    </row>
    <row r="279">
      <c r="H279" s="128" t="n"/>
      <c r="L279" s="133" t="n"/>
      <c r="O279" s="128" t="n"/>
      <c r="V279" s="133" t="n"/>
      <c r="W279" s="133" t="n"/>
    </row>
    <row r="280">
      <c r="H280" s="128" t="n"/>
      <c r="L280" s="133" t="n"/>
      <c r="O280" s="128" t="n"/>
      <c r="V280" s="133" t="n"/>
      <c r="W280" s="133" t="n"/>
    </row>
    <row r="281">
      <c r="H281" s="128" t="n"/>
      <c r="L281" s="133" t="n"/>
      <c r="O281" s="128" t="n"/>
      <c r="V281" s="133" t="n"/>
      <c r="W281" s="133" t="n"/>
    </row>
    <row r="282">
      <c r="H282" s="128" t="n"/>
      <c r="L282" s="133" t="n"/>
      <c r="O282" s="128" t="n"/>
      <c r="V282" s="133" t="n"/>
      <c r="W282" s="133" t="n"/>
    </row>
    <row r="283">
      <c r="H283" s="128" t="n"/>
      <c r="L283" s="133" t="n"/>
      <c r="O283" s="128" t="n"/>
      <c r="V283" s="133" t="n"/>
      <c r="W283" s="133" t="n"/>
    </row>
    <row r="284">
      <c r="H284" s="128" t="n"/>
      <c r="L284" s="133" t="n"/>
      <c r="O284" s="128" t="n"/>
      <c r="V284" s="133" t="n"/>
      <c r="W284" s="133" t="n"/>
    </row>
    <row r="285">
      <c r="H285" s="128" t="n"/>
      <c r="L285" s="133" t="n"/>
      <c r="O285" s="128" t="n"/>
      <c r="V285" s="133" t="n"/>
      <c r="W285" s="133" t="n"/>
    </row>
    <row r="286">
      <c r="H286" s="128" t="n"/>
      <c r="L286" s="133" t="n"/>
      <c r="O286" s="128" t="n"/>
      <c r="V286" s="133" t="n"/>
      <c r="W286" s="133" t="n"/>
    </row>
    <row r="287">
      <c r="H287" s="128" t="n"/>
      <c r="L287" s="133" t="n"/>
      <c r="O287" s="128" t="n"/>
      <c r="V287" s="133" t="n"/>
      <c r="W287" s="133" t="n"/>
    </row>
    <row r="288">
      <c r="H288" s="128" t="n"/>
      <c r="L288" s="133" t="n"/>
      <c r="O288" s="128" t="n"/>
      <c r="V288" s="133" t="n"/>
      <c r="W288" s="133" t="n"/>
    </row>
    <row r="289">
      <c r="H289" s="128" t="n"/>
      <c r="L289" s="133" t="n"/>
      <c r="O289" s="128" t="n"/>
      <c r="V289" s="133" t="n"/>
      <c r="W289" s="133" t="n"/>
    </row>
    <row r="290">
      <c r="H290" s="128" t="n"/>
      <c r="L290" s="133" t="n"/>
      <c r="O290" s="128" t="n"/>
      <c r="V290" s="133" t="n"/>
      <c r="W290" s="133" t="n"/>
    </row>
    <row r="291">
      <c r="H291" s="128" t="n"/>
      <c r="L291" s="133" t="n"/>
      <c r="O291" s="128" t="n"/>
      <c r="V291" s="133" t="n"/>
      <c r="W291" s="133" t="n"/>
    </row>
    <row r="292">
      <c r="H292" s="128" t="n"/>
      <c r="L292" s="133" t="n"/>
      <c r="O292" s="128" t="n"/>
      <c r="V292" s="133" t="n"/>
      <c r="W292" s="133" t="n"/>
    </row>
    <row r="293">
      <c r="H293" s="128" t="n"/>
      <c r="L293" s="133" t="n"/>
      <c r="O293" s="128" t="n"/>
      <c r="V293" s="133" t="n"/>
      <c r="W293" s="133" t="n"/>
    </row>
    <row r="294">
      <c r="H294" s="128" t="n"/>
      <c r="L294" s="133" t="n"/>
      <c r="O294" s="128" t="n"/>
      <c r="V294" s="133" t="n"/>
      <c r="W294" s="133" t="n"/>
    </row>
    <row r="295">
      <c r="H295" s="128" t="n"/>
      <c r="L295" s="133" t="n"/>
      <c r="O295" s="128" t="n"/>
      <c r="V295" s="133" t="n"/>
      <c r="W295" s="133" t="n"/>
    </row>
    <row r="296">
      <c r="H296" s="128" t="n"/>
      <c r="L296" s="133" t="n"/>
      <c r="O296" s="128" t="n"/>
      <c r="V296" s="133" t="n"/>
      <c r="W296" s="133" t="n"/>
    </row>
    <row r="297">
      <c r="H297" s="128" t="n"/>
      <c r="L297" s="133" t="n"/>
      <c r="O297" s="128" t="n"/>
      <c r="V297" s="133" t="n"/>
      <c r="W297" s="133" t="n"/>
    </row>
    <row r="298">
      <c r="H298" s="128" t="n"/>
      <c r="L298" s="133" t="n"/>
      <c r="O298" s="128" t="n"/>
      <c r="V298" s="133" t="n"/>
      <c r="W298" s="133" t="n"/>
    </row>
    <row r="299">
      <c r="H299" s="128" t="n"/>
      <c r="L299" s="133" t="n"/>
      <c r="O299" s="128" t="n"/>
      <c r="V299" s="133" t="n"/>
      <c r="W299" s="133" t="n"/>
    </row>
    <row r="300">
      <c r="H300" s="128" t="n"/>
      <c r="L300" s="133" t="n"/>
      <c r="O300" s="128" t="n"/>
      <c r="V300" s="133" t="n"/>
      <c r="W300" s="133" t="n"/>
    </row>
    <row r="301">
      <c r="H301" s="128" t="n"/>
      <c r="L301" s="133" t="n"/>
      <c r="O301" s="128" t="n"/>
      <c r="V301" s="133" t="n"/>
      <c r="W301" s="133" t="n"/>
    </row>
    <row r="302">
      <c r="H302" s="128" t="n"/>
      <c r="L302" s="133" t="n"/>
      <c r="O302" s="128" t="n"/>
      <c r="V302" s="133" t="n"/>
      <c r="W302" s="133" t="n"/>
    </row>
    <row r="303">
      <c r="H303" s="128" t="n"/>
      <c r="L303" s="133" t="n"/>
      <c r="O303" s="128" t="n"/>
      <c r="V303" s="133" t="n"/>
      <c r="W303" s="133" t="n"/>
    </row>
    <row r="304">
      <c r="H304" s="128" t="n"/>
      <c r="L304" s="133" t="n"/>
      <c r="O304" s="128" t="n"/>
      <c r="V304" s="133" t="n"/>
      <c r="W304" s="133" t="n"/>
    </row>
    <row r="305">
      <c r="H305" s="128" t="n"/>
      <c r="L305" s="133" t="n"/>
      <c r="O305" s="128" t="n"/>
      <c r="V305" s="133" t="n"/>
      <c r="W305" s="133" t="n"/>
    </row>
    <row r="306">
      <c r="H306" s="128" t="n"/>
      <c r="L306" s="133" t="n"/>
      <c r="O306" s="128" t="n"/>
      <c r="V306" s="133" t="n"/>
      <c r="W306" s="133" t="n"/>
    </row>
    <row r="307">
      <c r="H307" s="128" t="n"/>
      <c r="L307" s="133" t="n"/>
      <c r="O307" s="128" t="n"/>
      <c r="V307" s="133" t="n"/>
      <c r="W307" s="133" t="n"/>
    </row>
    <row r="308">
      <c r="H308" s="128" t="n"/>
      <c r="L308" s="133" t="n"/>
      <c r="O308" s="128" t="n"/>
      <c r="V308" s="133" t="n"/>
      <c r="W308" s="133" t="n"/>
    </row>
    <row r="309">
      <c r="H309" s="128" t="n"/>
      <c r="L309" s="133" t="n"/>
      <c r="O309" s="128" t="n"/>
      <c r="V309" s="133" t="n"/>
      <c r="W309" s="133" t="n"/>
    </row>
    <row r="310">
      <c r="H310" s="128" t="n"/>
      <c r="L310" s="133" t="n"/>
      <c r="O310" s="128" t="n"/>
      <c r="V310" s="133" t="n"/>
      <c r="W310" s="133" t="n"/>
    </row>
    <row r="311">
      <c r="H311" s="128" t="n"/>
      <c r="L311" s="133" t="n"/>
      <c r="O311" s="128" t="n"/>
      <c r="V311" s="133" t="n"/>
      <c r="W311" s="133" t="n"/>
    </row>
    <row r="312">
      <c r="H312" s="128" t="n"/>
      <c r="L312" s="133" t="n"/>
      <c r="O312" s="128" t="n"/>
      <c r="V312" s="133" t="n"/>
      <c r="W312" s="133" t="n"/>
    </row>
    <row r="313">
      <c r="H313" s="128" t="n"/>
      <c r="L313" s="133" t="n"/>
      <c r="O313" s="128" t="n"/>
      <c r="V313" s="133" t="n"/>
      <c r="W313" s="133" t="n"/>
    </row>
    <row r="314">
      <c r="H314" s="128" t="n"/>
      <c r="L314" s="133" t="n"/>
      <c r="O314" s="128" t="n"/>
      <c r="V314" s="133" t="n"/>
      <c r="W314" s="133" t="n"/>
    </row>
    <row r="315">
      <c r="H315" s="128" t="n"/>
      <c r="L315" s="133" t="n"/>
      <c r="O315" s="128" t="n"/>
      <c r="V315" s="133" t="n"/>
      <c r="W315" s="133" t="n"/>
    </row>
    <row r="316">
      <c r="H316" s="128" t="n"/>
      <c r="L316" s="133" t="n"/>
      <c r="O316" s="128" t="n"/>
      <c r="V316" s="133" t="n"/>
      <c r="W316" s="133" t="n"/>
    </row>
    <row r="317">
      <c r="H317" s="128" t="n"/>
      <c r="L317" s="133" t="n"/>
      <c r="O317" s="128" t="n"/>
      <c r="V317" s="133" t="n"/>
      <c r="W317" s="133" t="n"/>
    </row>
    <row r="318">
      <c r="H318" s="128" t="n"/>
      <c r="L318" s="133" t="n"/>
      <c r="O318" s="128" t="n"/>
      <c r="V318" s="133" t="n"/>
      <c r="W318" s="133" t="n"/>
    </row>
    <row r="319">
      <c r="H319" s="128" t="n"/>
      <c r="L319" s="133" t="n"/>
      <c r="O319" s="128" t="n"/>
      <c r="V319" s="133" t="n"/>
      <c r="W319" s="133" t="n"/>
    </row>
    <row r="320">
      <c r="H320" s="128" t="n"/>
      <c r="L320" s="133" t="n"/>
      <c r="O320" s="128" t="n"/>
      <c r="V320" s="133" t="n"/>
      <c r="W320" s="133" t="n"/>
    </row>
    <row r="321">
      <c r="H321" s="128" t="n"/>
      <c r="L321" s="133" t="n"/>
      <c r="O321" s="128" t="n"/>
      <c r="V321" s="133" t="n"/>
      <c r="W321" s="133" t="n"/>
    </row>
    <row r="322">
      <c r="H322" s="128" t="n"/>
      <c r="L322" s="133" t="n"/>
      <c r="O322" s="128" t="n"/>
      <c r="V322" s="133" t="n"/>
      <c r="W322" s="133" t="n"/>
    </row>
    <row r="323">
      <c r="H323" s="128" t="n"/>
      <c r="L323" s="133" t="n"/>
      <c r="O323" s="128" t="n"/>
      <c r="V323" s="133" t="n"/>
      <c r="W323" s="133" t="n"/>
    </row>
    <row r="324">
      <c r="H324" s="128" t="n"/>
      <c r="L324" s="133" t="n"/>
      <c r="O324" s="128" t="n"/>
      <c r="V324" s="133" t="n"/>
      <c r="W324" s="133" t="n"/>
    </row>
    <row r="325">
      <c r="H325" s="128" t="n"/>
      <c r="L325" s="133" t="n"/>
      <c r="O325" s="128" t="n"/>
      <c r="V325" s="133" t="n"/>
      <c r="W325" s="133" t="n"/>
    </row>
    <row r="326">
      <c r="H326" s="128" t="n"/>
      <c r="L326" s="133" t="n"/>
      <c r="O326" s="128" t="n"/>
      <c r="V326" s="133" t="n"/>
      <c r="W326" s="133" t="n"/>
    </row>
    <row r="327">
      <c r="H327" s="128" t="n"/>
      <c r="L327" s="133" t="n"/>
      <c r="O327" s="128" t="n"/>
      <c r="V327" s="133" t="n"/>
      <c r="W327" s="133" t="n"/>
    </row>
    <row r="328">
      <c r="H328" s="128" t="n"/>
      <c r="L328" s="133" t="n"/>
      <c r="O328" s="128" t="n"/>
      <c r="V328" s="133" t="n"/>
      <c r="W328" s="133" t="n"/>
    </row>
    <row r="329">
      <c r="H329" s="128" t="n"/>
      <c r="L329" s="133" t="n"/>
      <c r="O329" s="128" t="n"/>
      <c r="V329" s="133" t="n"/>
      <c r="W329" s="133" t="n"/>
    </row>
    <row r="330">
      <c r="H330" s="128" t="n"/>
      <c r="L330" s="133" t="n"/>
      <c r="O330" s="128" t="n"/>
      <c r="V330" s="133" t="n"/>
      <c r="W330" s="133" t="n"/>
    </row>
    <row r="331">
      <c r="H331" s="128" t="n"/>
      <c r="L331" s="133" t="n"/>
      <c r="O331" s="128" t="n"/>
      <c r="V331" s="133" t="n"/>
      <c r="W331" s="133" t="n"/>
    </row>
    <row r="332">
      <c r="H332" s="128" t="n"/>
      <c r="L332" s="133" t="n"/>
      <c r="O332" s="128" t="n"/>
      <c r="V332" s="133" t="n"/>
      <c r="W332" s="133" t="n"/>
    </row>
    <row r="333">
      <c r="H333" s="128" t="n"/>
      <c r="L333" s="133" t="n"/>
      <c r="O333" s="128" t="n"/>
      <c r="V333" s="133" t="n"/>
      <c r="W333" s="133" t="n"/>
    </row>
    <row r="334">
      <c r="H334" s="128" t="n"/>
      <c r="L334" s="133" t="n"/>
      <c r="O334" s="128" t="n"/>
      <c r="V334" s="133" t="n"/>
      <c r="W334" s="133" t="n"/>
    </row>
    <row r="335">
      <c r="H335" s="128" t="n"/>
      <c r="L335" s="133" t="n"/>
      <c r="O335" s="128" t="n"/>
      <c r="V335" s="133" t="n"/>
      <c r="W335" s="133" t="n"/>
    </row>
    <row r="336">
      <c r="H336" s="128" t="n"/>
      <c r="L336" s="133" t="n"/>
      <c r="O336" s="128" t="n"/>
      <c r="V336" s="133" t="n"/>
      <c r="W336" s="133" t="n"/>
    </row>
    <row r="337">
      <c r="H337" s="128" t="n"/>
      <c r="L337" s="133" t="n"/>
      <c r="O337" s="128" t="n"/>
      <c r="V337" s="133" t="n"/>
      <c r="W337" s="133" t="n"/>
    </row>
    <row r="338">
      <c r="H338" s="128" t="n"/>
      <c r="L338" s="133" t="n"/>
      <c r="O338" s="128" t="n"/>
      <c r="V338" s="133" t="n"/>
      <c r="W338" s="133" t="n"/>
    </row>
    <row r="339">
      <c r="H339" s="128" t="n"/>
      <c r="L339" s="133" t="n"/>
      <c r="O339" s="128" t="n"/>
      <c r="V339" s="133" t="n"/>
      <c r="W339" s="133" t="n"/>
    </row>
    <row r="340">
      <c r="H340" s="128" t="n"/>
      <c r="L340" s="133" t="n"/>
      <c r="O340" s="128" t="n"/>
      <c r="V340" s="133" t="n"/>
      <c r="W340" s="133" t="n"/>
    </row>
    <row r="341">
      <c r="H341" s="128" t="n"/>
      <c r="L341" s="133" t="n"/>
      <c r="O341" s="128" t="n"/>
      <c r="V341" s="133" t="n"/>
      <c r="W341" s="133" t="n"/>
    </row>
    <row r="342">
      <c r="H342" s="128" t="n"/>
      <c r="L342" s="133" t="n"/>
      <c r="O342" s="128" t="n"/>
      <c r="V342" s="133" t="n"/>
      <c r="W342" s="133" t="n"/>
    </row>
    <row r="343">
      <c r="H343" s="128" t="n"/>
      <c r="L343" s="133" t="n"/>
      <c r="O343" s="128" t="n"/>
      <c r="V343" s="133" t="n"/>
      <c r="W343" s="133" t="n"/>
    </row>
    <row r="344">
      <c r="H344" s="128" t="n"/>
      <c r="L344" s="133" t="n"/>
      <c r="O344" s="128" t="n"/>
      <c r="V344" s="133" t="n"/>
      <c r="W344" s="133" t="n"/>
    </row>
    <row r="345">
      <c r="H345" s="128" t="n"/>
      <c r="L345" s="133" t="n"/>
      <c r="O345" s="128" t="n"/>
      <c r="V345" s="133" t="n"/>
      <c r="W345" s="133" t="n"/>
    </row>
    <row r="346">
      <c r="H346" s="128" t="n"/>
      <c r="L346" s="133" t="n"/>
      <c r="O346" s="128" t="n"/>
      <c r="V346" s="133" t="n"/>
      <c r="W346" s="133" t="n"/>
    </row>
    <row r="347">
      <c r="H347" s="128" t="n"/>
      <c r="L347" s="133" t="n"/>
      <c r="O347" s="128" t="n"/>
      <c r="V347" s="133" t="n"/>
      <c r="W347" s="133" t="n"/>
    </row>
    <row r="348">
      <c r="H348" s="128" t="n"/>
      <c r="L348" s="133" t="n"/>
      <c r="O348" s="128" t="n"/>
      <c r="V348" s="133" t="n"/>
      <c r="W348" s="133" t="n"/>
    </row>
    <row r="349">
      <c r="H349" s="128" t="n"/>
      <c r="L349" s="133" t="n"/>
      <c r="O349" s="128" t="n"/>
      <c r="V349" s="133" t="n"/>
      <c r="W349" s="133" t="n"/>
    </row>
    <row r="350">
      <c r="H350" s="128" t="n"/>
      <c r="L350" s="133" t="n"/>
      <c r="O350" s="128" t="n"/>
      <c r="V350" s="133" t="n"/>
      <c r="W350" s="133" t="n"/>
    </row>
    <row r="351">
      <c r="H351" s="128" t="n"/>
      <c r="L351" s="133" t="n"/>
      <c r="O351" s="128" t="n"/>
      <c r="V351" s="133" t="n"/>
      <c r="W351" s="133" t="n"/>
    </row>
    <row r="352">
      <c r="H352" s="128" t="n"/>
      <c r="L352" s="133" t="n"/>
      <c r="O352" s="128" t="n"/>
      <c r="V352" s="133" t="n"/>
      <c r="W352" s="133" t="n"/>
    </row>
    <row r="353">
      <c r="H353" s="128" t="n"/>
      <c r="L353" s="133" t="n"/>
      <c r="O353" s="128" t="n"/>
      <c r="V353" s="133" t="n"/>
      <c r="W353" s="133" t="n"/>
    </row>
    <row r="354">
      <c r="H354" s="128" t="n"/>
      <c r="L354" s="133" t="n"/>
      <c r="O354" s="128" t="n"/>
      <c r="V354" s="133" t="n"/>
      <c r="W354" s="133" t="n"/>
    </row>
    <row r="355">
      <c r="H355" s="128" t="n"/>
      <c r="L355" s="133" t="n"/>
      <c r="O355" s="128" t="n"/>
      <c r="V355" s="133" t="n"/>
      <c r="W355" s="133" t="n"/>
    </row>
    <row r="356">
      <c r="H356" s="128" t="n"/>
      <c r="L356" s="133" t="n"/>
      <c r="O356" s="128" t="n"/>
      <c r="V356" s="133" t="n"/>
      <c r="W356" s="133" t="n"/>
    </row>
    <row r="357">
      <c r="H357" s="128" t="n"/>
      <c r="L357" s="133" t="n"/>
      <c r="O357" s="128" t="n"/>
      <c r="V357" s="133" t="n"/>
      <c r="W357" s="133" t="n"/>
    </row>
    <row r="358">
      <c r="H358" s="128" t="n"/>
      <c r="L358" s="133" t="n"/>
      <c r="O358" s="128" t="n"/>
      <c r="V358" s="133" t="n"/>
      <c r="W358" s="133" t="n"/>
    </row>
    <row r="359">
      <c r="H359" s="128" t="n"/>
      <c r="L359" s="133" t="n"/>
      <c r="O359" s="128" t="n"/>
      <c r="V359" s="133" t="n"/>
      <c r="W359" s="133" t="n"/>
    </row>
    <row r="360">
      <c r="H360" s="128" t="n"/>
      <c r="L360" s="133" t="n"/>
      <c r="O360" s="128" t="n"/>
      <c r="V360" s="133" t="n"/>
      <c r="W360" s="133" t="n"/>
    </row>
    <row r="361">
      <c r="H361" s="128" t="n"/>
      <c r="L361" s="133" t="n"/>
      <c r="O361" s="128" t="n"/>
      <c r="V361" s="133" t="n"/>
      <c r="W361" s="133" t="n"/>
    </row>
    <row r="362">
      <c r="H362" s="128" t="n"/>
      <c r="L362" s="133" t="n"/>
      <c r="O362" s="128" t="n"/>
      <c r="V362" s="133" t="n"/>
      <c r="W362" s="133" t="n"/>
    </row>
    <row r="363">
      <c r="H363" s="128" t="n"/>
      <c r="L363" s="133" t="n"/>
      <c r="O363" s="128" t="n"/>
      <c r="V363" s="133" t="n"/>
      <c r="W363" s="133" t="n"/>
    </row>
    <row r="364">
      <c r="H364" s="128" t="n"/>
      <c r="L364" s="133" t="n"/>
      <c r="O364" s="128" t="n"/>
      <c r="V364" s="133" t="n"/>
      <c r="W364" s="133" t="n"/>
    </row>
    <row r="365">
      <c r="H365" s="128" t="n"/>
      <c r="L365" s="133" t="n"/>
      <c r="O365" s="128" t="n"/>
      <c r="V365" s="133" t="n"/>
      <c r="W365" s="133" t="n"/>
    </row>
    <row r="366">
      <c r="H366" s="128" t="n"/>
      <c r="L366" s="133" t="n"/>
      <c r="O366" s="128" t="n"/>
      <c r="V366" s="133" t="n"/>
      <c r="W366" s="133" t="n"/>
    </row>
    <row r="367">
      <c r="H367" s="128" t="n"/>
      <c r="L367" s="133" t="n"/>
      <c r="O367" s="128" t="n"/>
      <c r="V367" s="133" t="n"/>
      <c r="W367" s="133" t="n"/>
    </row>
    <row r="368">
      <c r="H368" s="128" t="n"/>
      <c r="L368" s="133" t="n"/>
      <c r="O368" s="128" t="n"/>
      <c r="V368" s="133" t="n"/>
      <c r="W368" s="133" t="n"/>
    </row>
    <row r="369">
      <c r="H369" s="128" t="n"/>
      <c r="L369" s="133" t="n"/>
      <c r="O369" s="128" t="n"/>
      <c r="V369" s="133" t="n"/>
      <c r="W369" s="133" t="n"/>
    </row>
    <row r="370">
      <c r="H370" s="128" t="n"/>
      <c r="L370" s="133" t="n"/>
      <c r="O370" s="128" t="n"/>
      <c r="V370" s="133" t="n"/>
      <c r="W370" s="133" t="n"/>
    </row>
    <row r="371">
      <c r="H371" s="128" t="n"/>
      <c r="L371" s="133" t="n"/>
      <c r="O371" s="128" t="n"/>
      <c r="V371" s="133" t="n"/>
      <c r="W371" s="133" t="n"/>
    </row>
    <row r="372">
      <c r="H372" s="128" t="n"/>
      <c r="L372" s="133" t="n"/>
      <c r="O372" s="128" t="n"/>
      <c r="V372" s="133" t="n"/>
      <c r="W372" s="133" t="n"/>
    </row>
    <row r="373">
      <c r="H373" s="128" t="n"/>
      <c r="L373" s="133" t="n"/>
      <c r="O373" s="128" t="n"/>
      <c r="V373" s="133" t="n"/>
      <c r="W373" s="133" t="n"/>
    </row>
    <row r="374">
      <c r="H374" s="128" t="n"/>
      <c r="L374" s="133" t="n"/>
      <c r="O374" s="128" t="n"/>
      <c r="V374" s="133" t="n"/>
      <c r="W374" s="133" t="n"/>
    </row>
    <row r="375">
      <c r="H375" s="128" t="n"/>
      <c r="L375" s="133" t="n"/>
      <c r="O375" s="128" t="n"/>
      <c r="V375" s="133" t="n"/>
      <c r="W375" s="133" t="n"/>
    </row>
    <row r="376">
      <c r="H376" s="128" t="n"/>
      <c r="L376" s="133" t="n"/>
      <c r="O376" s="128" t="n"/>
      <c r="V376" s="133" t="n"/>
      <c r="W376" s="133" t="n"/>
    </row>
    <row r="377">
      <c r="H377" s="128" t="n"/>
      <c r="L377" s="133" t="n"/>
      <c r="O377" s="128" t="n"/>
      <c r="V377" s="133" t="n"/>
      <c r="W377" s="133" t="n"/>
    </row>
    <row r="378">
      <c r="H378" s="128" t="n"/>
      <c r="L378" s="133" t="n"/>
      <c r="O378" s="128" t="n"/>
      <c r="V378" s="133" t="n"/>
      <c r="W378" s="133" t="n"/>
    </row>
    <row r="379">
      <c r="H379" s="128" t="n"/>
      <c r="L379" s="133" t="n"/>
      <c r="O379" s="128" t="n"/>
      <c r="V379" s="133" t="n"/>
      <c r="W379" s="133" t="n"/>
    </row>
    <row r="380">
      <c r="H380" s="128" t="n"/>
      <c r="L380" s="133" t="n"/>
      <c r="O380" s="128" t="n"/>
      <c r="V380" s="133" t="n"/>
      <c r="W380" s="133" t="n"/>
    </row>
    <row r="381">
      <c r="H381" s="128" t="n"/>
      <c r="L381" s="133" t="n"/>
      <c r="O381" s="128" t="n"/>
      <c r="V381" s="133" t="n"/>
      <c r="W381" s="133" t="n"/>
    </row>
    <row r="382">
      <c r="H382" s="128" t="n"/>
      <c r="L382" s="133" t="n"/>
      <c r="O382" s="128" t="n"/>
      <c r="V382" s="133" t="n"/>
      <c r="W382" s="133" t="n"/>
    </row>
    <row r="383">
      <c r="H383" s="128" t="n"/>
      <c r="L383" s="133" t="n"/>
      <c r="O383" s="128" t="n"/>
      <c r="V383" s="133" t="n"/>
      <c r="W383" s="133" t="n"/>
    </row>
    <row r="384">
      <c r="H384" s="128" t="n"/>
      <c r="L384" s="133" t="n"/>
      <c r="O384" s="128" t="n"/>
      <c r="V384" s="133" t="n"/>
      <c r="W384" s="133" t="n"/>
    </row>
    <row r="385">
      <c r="H385" s="128" t="n"/>
      <c r="L385" s="133" t="n"/>
      <c r="O385" s="128" t="n"/>
      <c r="V385" s="133" t="n"/>
      <c r="W385" s="133" t="n"/>
    </row>
    <row r="386">
      <c r="H386" s="128" t="n"/>
      <c r="L386" s="133" t="n"/>
      <c r="O386" s="128" t="n"/>
      <c r="V386" s="133" t="n"/>
      <c r="W386" s="133" t="n"/>
    </row>
    <row r="387">
      <c r="H387" s="128" t="n"/>
      <c r="L387" s="133" t="n"/>
      <c r="O387" s="128" t="n"/>
      <c r="V387" s="133" t="n"/>
      <c r="W387" s="133" t="n"/>
    </row>
    <row r="388">
      <c r="H388" s="128" t="n"/>
      <c r="L388" s="133" t="n"/>
      <c r="O388" s="128" t="n"/>
      <c r="V388" s="133" t="n"/>
      <c r="W388" s="133" t="n"/>
    </row>
    <row r="389">
      <c r="H389" s="128" t="n"/>
      <c r="L389" s="133" t="n"/>
      <c r="O389" s="128" t="n"/>
      <c r="V389" s="133" t="n"/>
      <c r="W389" s="133" t="n"/>
    </row>
    <row r="390">
      <c r="H390" s="128" t="n"/>
      <c r="L390" s="133" t="n"/>
      <c r="O390" s="128" t="n"/>
      <c r="V390" s="133" t="n"/>
      <c r="W390" s="133" t="n"/>
    </row>
    <row r="391">
      <c r="H391" s="128" t="n"/>
      <c r="L391" s="133" t="n"/>
      <c r="O391" s="128" t="n"/>
      <c r="V391" s="133" t="n"/>
      <c r="W391" s="133" t="n"/>
    </row>
    <row r="392">
      <c r="H392" s="128" t="n"/>
      <c r="L392" s="133" t="n"/>
      <c r="O392" s="128" t="n"/>
      <c r="V392" s="133" t="n"/>
      <c r="W392" s="133" t="n"/>
    </row>
    <row r="393">
      <c r="H393" s="128" t="n"/>
      <c r="L393" s="133" t="n"/>
      <c r="O393" s="128" t="n"/>
      <c r="V393" s="133" t="n"/>
      <c r="W393" s="133" t="n"/>
    </row>
    <row r="394">
      <c r="H394" s="128" t="n"/>
      <c r="L394" s="133" t="n"/>
      <c r="O394" s="128" t="n"/>
      <c r="V394" s="133" t="n"/>
      <c r="W394" s="133" t="n"/>
    </row>
    <row r="395">
      <c r="H395" s="128" t="n"/>
      <c r="L395" s="133" t="n"/>
      <c r="O395" s="128" t="n"/>
      <c r="V395" s="133" t="n"/>
      <c r="W395" s="133" t="n"/>
    </row>
    <row r="396">
      <c r="H396" s="128" t="n"/>
      <c r="L396" s="133" t="n"/>
      <c r="O396" s="128" t="n"/>
      <c r="V396" s="133" t="n"/>
      <c r="W396" s="133" t="n"/>
    </row>
    <row r="397">
      <c r="H397" s="128" t="n"/>
      <c r="L397" s="133" t="n"/>
      <c r="O397" s="128" t="n"/>
      <c r="V397" s="133" t="n"/>
      <c r="W397" s="133" t="n"/>
    </row>
    <row r="398">
      <c r="H398" s="128" t="n"/>
      <c r="L398" s="133" t="n"/>
      <c r="O398" s="128" t="n"/>
      <c r="V398" s="133" t="n"/>
      <c r="W398" s="133" t="n"/>
    </row>
    <row r="399">
      <c r="H399" s="128" t="n"/>
      <c r="L399" s="133" t="n"/>
      <c r="O399" s="128" t="n"/>
      <c r="V399" s="133" t="n"/>
      <c r="W399" s="133" t="n"/>
    </row>
    <row r="400">
      <c r="H400" s="128" t="n"/>
      <c r="L400" s="133" t="n"/>
      <c r="O400" s="128" t="n"/>
      <c r="V400" s="133" t="n"/>
      <c r="W400" s="133" t="n"/>
    </row>
    <row r="401">
      <c r="H401" s="128" t="n"/>
      <c r="L401" s="133" t="n"/>
      <c r="O401" s="128" t="n"/>
      <c r="V401" s="133" t="n"/>
      <c r="W401" s="133" t="n"/>
    </row>
    <row r="402">
      <c r="H402" s="128" t="n"/>
      <c r="L402" s="133" t="n"/>
      <c r="O402" s="128" t="n"/>
      <c r="V402" s="133" t="n"/>
      <c r="W402" s="133" t="n"/>
    </row>
    <row r="403">
      <c r="H403" s="128" t="n"/>
      <c r="L403" s="133" t="n"/>
      <c r="O403" s="128" t="n"/>
      <c r="V403" s="133" t="n"/>
      <c r="W403" s="133" t="n"/>
    </row>
    <row r="404">
      <c r="H404" s="128" t="n"/>
      <c r="L404" s="133" t="n"/>
      <c r="O404" s="128" t="n"/>
      <c r="V404" s="133" t="n"/>
      <c r="W404" s="133" t="n"/>
    </row>
    <row r="405">
      <c r="H405" s="128" t="n"/>
      <c r="L405" s="133" t="n"/>
      <c r="O405" s="128" t="n"/>
      <c r="V405" s="133" t="n"/>
      <c r="W405" s="133" t="n"/>
    </row>
    <row r="406">
      <c r="H406" s="128" t="n"/>
      <c r="L406" s="133" t="n"/>
      <c r="O406" s="128" t="n"/>
      <c r="V406" s="133" t="n"/>
      <c r="W406" s="133" t="n"/>
    </row>
    <row r="407">
      <c r="H407" s="128" t="n"/>
      <c r="L407" s="133" t="n"/>
      <c r="O407" s="128" t="n"/>
      <c r="V407" s="133" t="n"/>
      <c r="W407" s="133" t="n"/>
    </row>
    <row r="408">
      <c r="H408" s="128" t="n"/>
      <c r="L408" s="133" t="n"/>
      <c r="O408" s="128" t="n"/>
      <c r="V408" s="133" t="n"/>
      <c r="W408" s="133" t="n"/>
    </row>
    <row r="409">
      <c r="H409" s="128" t="n"/>
      <c r="L409" s="133" t="n"/>
      <c r="O409" s="128" t="n"/>
      <c r="V409" s="133" t="n"/>
      <c r="W409" s="133" t="n"/>
    </row>
    <row r="410">
      <c r="H410" s="128" t="n"/>
      <c r="L410" s="133" t="n"/>
      <c r="O410" s="128" t="n"/>
      <c r="V410" s="133" t="n"/>
      <c r="W410" s="133" t="n"/>
    </row>
    <row r="411">
      <c r="H411" s="128" t="n"/>
      <c r="L411" s="133" t="n"/>
      <c r="O411" s="128" t="n"/>
      <c r="V411" s="133" t="n"/>
      <c r="W411" s="133" t="n"/>
    </row>
    <row r="412">
      <c r="H412" s="128" t="n"/>
      <c r="L412" s="133" t="n"/>
      <c r="O412" s="128" t="n"/>
      <c r="V412" s="133" t="n"/>
      <c r="W412" s="133" t="n"/>
    </row>
    <row r="413">
      <c r="H413" s="128" t="n"/>
      <c r="L413" s="133" t="n"/>
      <c r="O413" s="128" t="n"/>
      <c r="V413" s="133" t="n"/>
      <c r="W413" s="133" t="n"/>
    </row>
    <row r="414">
      <c r="H414" s="128" t="n"/>
      <c r="L414" s="133" t="n"/>
      <c r="O414" s="128" t="n"/>
      <c r="V414" s="133" t="n"/>
      <c r="W414" s="133" t="n"/>
    </row>
    <row r="415">
      <c r="H415" s="128" t="n"/>
      <c r="L415" s="133" t="n"/>
      <c r="O415" s="128" t="n"/>
      <c r="V415" s="133" t="n"/>
      <c r="W415" s="133" t="n"/>
    </row>
    <row r="416">
      <c r="H416" s="128" t="n"/>
      <c r="L416" s="133" t="n"/>
      <c r="O416" s="128" t="n"/>
      <c r="V416" s="133" t="n"/>
      <c r="W416" s="133" t="n"/>
    </row>
    <row r="417">
      <c r="H417" s="128" t="n"/>
      <c r="L417" s="133" t="n"/>
      <c r="O417" s="128" t="n"/>
      <c r="V417" s="133" t="n"/>
      <c r="W417" s="133" t="n"/>
    </row>
    <row r="418">
      <c r="H418" s="128" t="n"/>
      <c r="L418" s="133" t="n"/>
      <c r="O418" s="128" t="n"/>
      <c r="V418" s="133" t="n"/>
      <c r="W418" s="133" t="n"/>
    </row>
    <row r="419">
      <c r="H419" s="128" t="n"/>
      <c r="L419" s="133" t="n"/>
      <c r="O419" s="128" t="n"/>
      <c r="V419" s="133" t="n"/>
      <c r="W419" s="133" t="n"/>
    </row>
    <row r="420">
      <c r="H420" s="128" t="n"/>
      <c r="L420" s="133" t="n"/>
      <c r="O420" s="128" t="n"/>
      <c r="V420" s="133" t="n"/>
      <c r="W420" s="133" t="n"/>
    </row>
    <row r="421">
      <c r="H421" s="128" t="n"/>
      <c r="L421" s="133" t="n"/>
      <c r="O421" s="128" t="n"/>
      <c r="V421" s="133" t="n"/>
      <c r="W421" s="133" t="n"/>
    </row>
    <row r="422">
      <c r="H422" s="128" t="n"/>
      <c r="L422" s="133" t="n"/>
      <c r="O422" s="128" t="n"/>
      <c r="V422" s="133" t="n"/>
      <c r="W422" s="133" t="n"/>
    </row>
    <row r="423">
      <c r="H423" s="128" t="n"/>
      <c r="L423" s="133" t="n"/>
      <c r="O423" s="128" t="n"/>
      <c r="V423" s="133" t="n"/>
      <c r="W423" s="133" t="n"/>
    </row>
    <row r="424">
      <c r="H424" s="128" t="n"/>
      <c r="L424" s="133" t="n"/>
      <c r="O424" s="128" t="n"/>
      <c r="V424" s="133" t="n"/>
      <c r="W424" s="133" t="n"/>
    </row>
    <row r="425">
      <c r="H425" s="128" t="n"/>
      <c r="L425" s="133" t="n"/>
      <c r="O425" s="128" t="n"/>
      <c r="V425" s="133" t="n"/>
      <c r="W425" s="133" t="n"/>
    </row>
    <row r="426">
      <c r="H426" s="128" t="n"/>
      <c r="L426" s="133" t="n"/>
      <c r="O426" s="128" t="n"/>
      <c r="V426" s="133" t="n"/>
      <c r="W426" s="133" t="n"/>
    </row>
    <row r="427">
      <c r="H427" s="128" t="n"/>
      <c r="L427" s="133" t="n"/>
      <c r="O427" s="128" t="n"/>
      <c r="V427" s="133" t="n"/>
      <c r="W427" s="133" t="n"/>
    </row>
    <row r="428">
      <c r="H428" s="128" t="n"/>
      <c r="L428" s="133" t="n"/>
      <c r="O428" s="128" t="n"/>
      <c r="V428" s="133" t="n"/>
      <c r="W428" s="133" t="n"/>
    </row>
    <row r="429">
      <c r="H429" s="128" t="n"/>
      <c r="L429" s="133" t="n"/>
      <c r="O429" s="128" t="n"/>
      <c r="V429" s="133" t="n"/>
      <c r="W429" s="133" t="n"/>
    </row>
    <row r="430">
      <c r="H430" s="128" t="n"/>
      <c r="L430" s="133" t="n"/>
      <c r="O430" s="128" t="n"/>
      <c r="V430" s="133" t="n"/>
      <c r="W430" s="133" t="n"/>
    </row>
    <row r="431">
      <c r="H431" s="128" t="n"/>
      <c r="L431" s="133" t="n"/>
      <c r="O431" s="128" t="n"/>
      <c r="V431" s="133" t="n"/>
      <c r="W431" s="133" t="n"/>
    </row>
    <row r="432">
      <c r="H432" s="128" t="n"/>
      <c r="L432" s="133" t="n"/>
      <c r="O432" s="128" t="n"/>
      <c r="V432" s="133" t="n"/>
      <c r="W432" s="133" t="n"/>
    </row>
    <row r="433">
      <c r="H433" s="128" t="n"/>
      <c r="L433" s="133" t="n"/>
      <c r="O433" s="128" t="n"/>
      <c r="V433" s="133" t="n"/>
      <c r="W433" s="133" t="n"/>
    </row>
    <row r="434">
      <c r="H434" s="128" t="n"/>
      <c r="L434" s="133" t="n"/>
      <c r="O434" s="128" t="n"/>
      <c r="V434" s="133" t="n"/>
      <c r="W434" s="133" t="n"/>
    </row>
    <row r="435">
      <c r="H435" s="128" t="n"/>
      <c r="L435" s="133" t="n"/>
      <c r="O435" s="128" t="n"/>
      <c r="V435" s="133" t="n"/>
      <c r="W435" s="133" t="n"/>
    </row>
    <row r="436">
      <c r="H436" s="128" t="n"/>
      <c r="L436" s="133" t="n"/>
      <c r="O436" s="128" t="n"/>
      <c r="V436" s="133" t="n"/>
      <c r="W436" s="133" t="n"/>
    </row>
    <row r="437">
      <c r="H437" s="128" t="n"/>
      <c r="L437" s="133" t="n"/>
      <c r="O437" s="128" t="n"/>
      <c r="V437" s="133" t="n"/>
      <c r="W437" s="133" t="n"/>
    </row>
    <row r="438">
      <c r="H438" s="128" t="n"/>
      <c r="L438" s="133" t="n"/>
      <c r="O438" s="128" t="n"/>
      <c r="V438" s="133" t="n"/>
      <c r="W438" s="133" t="n"/>
    </row>
    <row r="439">
      <c r="H439" s="128" t="n"/>
      <c r="L439" s="133" t="n"/>
      <c r="O439" s="128" t="n"/>
      <c r="V439" s="133" t="n"/>
      <c r="W439" s="133" t="n"/>
    </row>
    <row r="440">
      <c r="H440" s="128" t="n"/>
      <c r="L440" s="133" t="n"/>
      <c r="O440" s="128" t="n"/>
      <c r="V440" s="133" t="n"/>
      <c r="W440" s="133" t="n"/>
    </row>
    <row r="441">
      <c r="H441" s="128" t="n"/>
      <c r="L441" s="133" t="n"/>
      <c r="O441" s="128" t="n"/>
      <c r="V441" s="133" t="n"/>
      <c r="W441" s="133" t="n"/>
    </row>
    <row r="442">
      <c r="H442" s="128" t="n"/>
      <c r="L442" s="133" t="n"/>
      <c r="O442" s="128" t="n"/>
      <c r="V442" s="133" t="n"/>
      <c r="W442" s="133" t="n"/>
    </row>
    <row r="443">
      <c r="H443" s="128" t="n"/>
      <c r="L443" s="133" t="n"/>
      <c r="O443" s="128" t="n"/>
      <c r="V443" s="133" t="n"/>
      <c r="W443" s="133" t="n"/>
    </row>
    <row r="444">
      <c r="H444" s="128" t="n"/>
      <c r="L444" s="133" t="n"/>
      <c r="O444" s="128" t="n"/>
      <c r="V444" s="133" t="n"/>
      <c r="W444" s="133" t="n"/>
    </row>
    <row r="445">
      <c r="H445" s="128" t="n"/>
      <c r="L445" s="133" t="n"/>
      <c r="O445" s="128" t="n"/>
      <c r="V445" s="133" t="n"/>
      <c r="W445" s="133" t="n"/>
    </row>
    <row r="446">
      <c r="H446" s="128" t="n"/>
      <c r="L446" s="133" t="n"/>
      <c r="O446" s="128" t="n"/>
      <c r="V446" s="133" t="n"/>
      <c r="W446" s="133" t="n"/>
    </row>
    <row r="447">
      <c r="H447" s="128" t="n"/>
      <c r="L447" s="133" t="n"/>
      <c r="O447" s="128" t="n"/>
      <c r="V447" s="133" t="n"/>
      <c r="W447" s="133" t="n"/>
    </row>
    <row r="448">
      <c r="H448" s="128" t="n"/>
      <c r="L448" s="133" t="n"/>
      <c r="O448" s="128" t="n"/>
      <c r="V448" s="133" t="n"/>
      <c r="W448" s="133" t="n"/>
    </row>
    <row r="449">
      <c r="H449" s="128" t="n"/>
      <c r="L449" s="133" t="n"/>
      <c r="O449" s="128" t="n"/>
      <c r="V449" s="133" t="n"/>
      <c r="W449" s="133" t="n"/>
    </row>
    <row r="450">
      <c r="H450" s="128" t="n"/>
      <c r="L450" s="133" t="n"/>
      <c r="O450" s="128" t="n"/>
      <c r="V450" s="133" t="n"/>
      <c r="W450" s="133" t="n"/>
    </row>
    <row r="451">
      <c r="H451" s="128" t="n"/>
      <c r="L451" s="133" t="n"/>
      <c r="O451" s="128" t="n"/>
      <c r="V451" s="133" t="n"/>
      <c r="W451" s="133" t="n"/>
    </row>
    <row r="452">
      <c r="H452" s="128" t="n"/>
      <c r="L452" s="133" t="n"/>
      <c r="O452" s="128" t="n"/>
      <c r="V452" s="133" t="n"/>
      <c r="W452" s="133" t="n"/>
    </row>
    <row r="453">
      <c r="H453" s="128" t="n"/>
      <c r="L453" s="133" t="n"/>
      <c r="O453" s="128" t="n"/>
      <c r="V453" s="133" t="n"/>
      <c r="W453" s="133" t="n"/>
    </row>
    <row r="454">
      <c r="H454" s="128" t="n"/>
      <c r="L454" s="133" t="n"/>
      <c r="O454" s="128" t="n"/>
      <c r="V454" s="133" t="n"/>
      <c r="W454" s="133" t="n"/>
    </row>
    <row r="455">
      <c r="H455" s="128" t="n"/>
      <c r="L455" s="133" t="n"/>
      <c r="O455" s="128" t="n"/>
      <c r="V455" s="133" t="n"/>
      <c r="W455" s="133" t="n"/>
    </row>
    <row r="456">
      <c r="H456" s="128" t="n"/>
      <c r="L456" s="133" t="n"/>
      <c r="O456" s="128" t="n"/>
      <c r="V456" s="133" t="n"/>
      <c r="W456" s="133" t="n"/>
    </row>
    <row r="457">
      <c r="H457" s="128" t="n"/>
      <c r="L457" s="133" t="n"/>
      <c r="O457" s="128" t="n"/>
      <c r="V457" s="133" t="n"/>
      <c r="W457" s="133" t="n"/>
    </row>
    <row r="458">
      <c r="H458" s="128" t="n"/>
      <c r="L458" s="133" t="n"/>
      <c r="O458" s="128" t="n"/>
      <c r="V458" s="133" t="n"/>
      <c r="W458" s="133" t="n"/>
    </row>
    <row r="459">
      <c r="H459" s="128" t="n"/>
      <c r="L459" s="133" t="n"/>
      <c r="O459" s="128" t="n"/>
      <c r="V459" s="133" t="n"/>
      <c r="W459" s="133" t="n"/>
    </row>
    <row r="460">
      <c r="H460" s="128" t="n"/>
      <c r="L460" s="133" t="n"/>
      <c r="O460" s="128" t="n"/>
      <c r="V460" s="133" t="n"/>
      <c r="W460" s="133" t="n"/>
    </row>
    <row r="461">
      <c r="H461" s="128" t="n"/>
      <c r="L461" s="133" t="n"/>
      <c r="O461" s="128" t="n"/>
      <c r="V461" s="133" t="n"/>
      <c r="W461" s="133" t="n"/>
    </row>
    <row r="462">
      <c r="H462" s="128" t="n"/>
      <c r="L462" s="133" t="n"/>
      <c r="O462" s="128" t="n"/>
      <c r="V462" s="133" t="n"/>
      <c r="W462" s="133" t="n"/>
    </row>
    <row r="463">
      <c r="H463" s="128" t="n"/>
      <c r="L463" s="133" t="n"/>
      <c r="O463" s="128" t="n"/>
      <c r="V463" s="133" t="n"/>
      <c r="W463" s="133" t="n"/>
    </row>
    <row r="464">
      <c r="H464" s="128" t="n"/>
      <c r="L464" s="133" t="n"/>
      <c r="O464" s="128" t="n"/>
      <c r="V464" s="133" t="n"/>
      <c r="W464" s="133" t="n"/>
    </row>
    <row r="465">
      <c r="H465" s="128" t="n"/>
      <c r="L465" s="133" t="n"/>
      <c r="O465" s="128" t="n"/>
      <c r="V465" s="133" t="n"/>
      <c r="W465" s="133" t="n"/>
    </row>
    <row r="466">
      <c r="H466" s="128" t="n"/>
      <c r="L466" s="133" t="n"/>
      <c r="O466" s="128" t="n"/>
      <c r="V466" s="133" t="n"/>
      <c r="W466" s="133" t="n"/>
    </row>
    <row r="467">
      <c r="H467" s="128" t="n"/>
      <c r="L467" s="133" t="n"/>
      <c r="O467" s="128" t="n"/>
      <c r="V467" s="133" t="n"/>
      <c r="W467" s="133" t="n"/>
    </row>
    <row r="468">
      <c r="H468" s="128" t="n"/>
      <c r="L468" s="133" t="n"/>
      <c r="O468" s="128" t="n"/>
      <c r="V468" s="133" t="n"/>
      <c r="W468" s="133" t="n"/>
    </row>
    <row r="469">
      <c r="H469" s="128" t="n"/>
      <c r="L469" s="133" t="n"/>
      <c r="O469" s="128" t="n"/>
      <c r="V469" s="133" t="n"/>
      <c r="W469" s="133" t="n"/>
    </row>
    <row r="470">
      <c r="H470" s="128" t="n"/>
      <c r="L470" s="133" t="n"/>
      <c r="O470" s="128" t="n"/>
      <c r="V470" s="133" t="n"/>
      <c r="W470" s="133" t="n"/>
    </row>
    <row r="471">
      <c r="H471" s="128" t="n"/>
      <c r="L471" s="133" t="n"/>
      <c r="O471" s="128" t="n"/>
      <c r="V471" s="133" t="n"/>
      <c r="W471" s="133" t="n"/>
    </row>
    <row r="472">
      <c r="H472" s="128" t="n"/>
      <c r="L472" s="133" t="n"/>
      <c r="O472" s="128" t="n"/>
      <c r="V472" s="133" t="n"/>
      <c r="W472" s="133" t="n"/>
    </row>
    <row r="473">
      <c r="H473" s="128" t="n"/>
      <c r="L473" s="133" t="n"/>
      <c r="O473" s="128" t="n"/>
      <c r="V473" s="133" t="n"/>
      <c r="W473" s="133" t="n"/>
    </row>
    <row r="474">
      <c r="H474" s="128" t="n"/>
      <c r="L474" s="133" t="n"/>
      <c r="O474" s="128" t="n"/>
      <c r="V474" s="133" t="n"/>
      <c r="W474" s="133" t="n"/>
    </row>
    <row r="475">
      <c r="H475" s="128" t="n"/>
      <c r="L475" s="133" t="n"/>
      <c r="O475" s="128" t="n"/>
      <c r="V475" s="133" t="n"/>
      <c r="W475" s="133" t="n"/>
    </row>
    <row r="476">
      <c r="H476" s="128" t="n"/>
      <c r="L476" s="133" t="n"/>
      <c r="O476" s="128" t="n"/>
      <c r="V476" s="133" t="n"/>
      <c r="W476" s="133" t="n"/>
    </row>
    <row r="477">
      <c r="H477" s="128" t="n"/>
      <c r="L477" s="133" t="n"/>
      <c r="O477" s="128" t="n"/>
      <c r="V477" s="133" t="n"/>
      <c r="W477" s="133" t="n"/>
    </row>
    <row r="478">
      <c r="H478" s="128" t="n"/>
      <c r="L478" s="133" t="n"/>
      <c r="O478" s="128" t="n"/>
      <c r="V478" s="133" t="n"/>
      <c r="W478" s="133" t="n"/>
    </row>
    <row r="479">
      <c r="H479" s="128" t="n"/>
      <c r="L479" s="133" t="n"/>
      <c r="O479" s="128" t="n"/>
      <c r="V479" s="133" t="n"/>
      <c r="W479" s="133" t="n"/>
    </row>
    <row r="480">
      <c r="H480" s="128" t="n"/>
      <c r="L480" s="133" t="n"/>
      <c r="O480" s="128" t="n"/>
      <c r="V480" s="133" t="n"/>
      <c r="W480" s="133" t="n"/>
    </row>
    <row r="481">
      <c r="H481" s="128" t="n"/>
      <c r="L481" s="133" t="n"/>
      <c r="O481" s="128" t="n"/>
      <c r="V481" s="133" t="n"/>
      <c r="W481" s="133" t="n"/>
    </row>
    <row r="482">
      <c r="H482" s="128" t="n"/>
      <c r="L482" s="133" t="n"/>
      <c r="O482" s="128" t="n"/>
      <c r="V482" s="133" t="n"/>
      <c r="W482" s="133" t="n"/>
    </row>
    <row r="483">
      <c r="H483" s="128" t="n"/>
      <c r="L483" s="133" t="n"/>
      <c r="O483" s="128" t="n"/>
      <c r="V483" s="133" t="n"/>
      <c r="W483" s="133" t="n"/>
    </row>
    <row r="484">
      <c r="H484" s="128" t="n"/>
      <c r="L484" s="133" t="n"/>
      <c r="O484" s="128" t="n"/>
      <c r="V484" s="133" t="n"/>
      <c r="W484" s="133" t="n"/>
    </row>
    <row r="485">
      <c r="H485" s="128" t="n"/>
      <c r="L485" s="133" t="n"/>
      <c r="O485" s="128" t="n"/>
      <c r="V485" s="133" t="n"/>
      <c r="W485" s="133" t="n"/>
    </row>
    <row r="486">
      <c r="H486" s="128" t="n"/>
      <c r="L486" s="133" t="n"/>
      <c r="O486" s="128" t="n"/>
      <c r="V486" s="133" t="n"/>
      <c r="W486" s="133" t="n"/>
    </row>
    <row r="487">
      <c r="H487" s="128" t="n"/>
      <c r="L487" s="133" t="n"/>
      <c r="O487" s="128" t="n"/>
      <c r="V487" s="133" t="n"/>
      <c r="W487" s="133" t="n"/>
    </row>
    <row r="488">
      <c r="H488" s="128" t="n"/>
      <c r="L488" s="133" t="n"/>
      <c r="O488" s="128" t="n"/>
      <c r="V488" s="133" t="n"/>
      <c r="W488" s="133" t="n"/>
    </row>
    <row r="489">
      <c r="H489" s="128" t="n"/>
      <c r="L489" s="133" t="n"/>
      <c r="O489" s="128" t="n"/>
      <c r="V489" s="133" t="n"/>
      <c r="W489" s="133" t="n"/>
    </row>
    <row r="490">
      <c r="H490" s="128" t="n"/>
      <c r="L490" s="133" t="n"/>
      <c r="O490" s="128" t="n"/>
      <c r="V490" s="133" t="n"/>
      <c r="W490" s="133" t="n"/>
    </row>
    <row r="491">
      <c r="H491" s="128" t="n"/>
      <c r="L491" s="133" t="n"/>
      <c r="O491" s="128" t="n"/>
      <c r="V491" s="133" t="n"/>
      <c r="W491" s="133" t="n"/>
    </row>
    <row r="492">
      <c r="H492" s="128" t="n"/>
      <c r="L492" s="133" t="n"/>
      <c r="O492" s="128" t="n"/>
      <c r="V492" s="133" t="n"/>
      <c r="W492" s="133" t="n"/>
    </row>
    <row r="493">
      <c r="H493" s="128" t="n"/>
      <c r="L493" s="133" t="n"/>
      <c r="O493" s="128" t="n"/>
      <c r="V493" s="133" t="n"/>
      <c r="W493" s="133" t="n"/>
    </row>
    <row r="494">
      <c r="H494" s="128" t="n"/>
      <c r="L494" s="133" t="n"/>
      <c r="O494" s="128" t="n"/>
      <c r="V494" s="133" t="n"/>
      <c r="W494" s="133" t="n"/>
    </row>
    <row r="495">
      <c r="H495" s="128" t="n"/>
      <c r="L495" s="133" t="n"/>
      <c r="O495" s="128" t="n"/>
      <c r="V495" s="133" t="n"/>
      <c r="W495" s="133" t="n"/>
    </row>
    <row r="496">
      <c r="H496" s="128" t="n"/>
      <c r="L496" s="133" t="n"/>
      <c r="O496" s="128" t="n"/>
      <c r="V496" s="133" t="n"/>
      <c r="W496" s="133" t="n"/>
    </row>
    <row r="497">
      <c r="H497" s="128" t="n"/>
      <c r="L497" s="133" t="n"/>
      <c r="O497" s="128" t="n"/>
      <c r="V497" s="133" t="n"/>
      <c r="W497" s="133" t="n"/>
    </row>
    <row r="498">
      <c r="H498" s="128" t="n"/>
      <c r="L498" s="133" t="n"/>
      <c r="O498" s="128" t="n"/>
      <c r="V498" s="133" t="n"/>
      <c r="W498" s="133" t="n"/>
    </row>
    <row r="499">
      <c r="H499" s="128" t="n"/>
      <c r="L499" s="133" t="n"/>
      <c r="O499" s="128" t="n"/>
      <c r="V499" s="133" t="n"/>
      <c r="W499" s="133" t="n"/>
    </row>
    <row r="500">
      <c r="H500" s="128" t="n"/>
      <c r="L500" s="133" t="n"/>
      <c r="O500" s="128" t="n"/>
      <c r="V500" s="133" t="n"/>
      <c r="W500" s="133" t="n"/>
    </row>
    <row r="501">
      <c r="H501" s="128" t="n"/>
      <c r="L501" s="133" t="n"/>
      <c r="O501" s="128" t="n"/>
      <c r="V501" s="133" t="n"/>
      <c r="W501" s="133" t="n"/>
    </row>
    <row r="502">
      <c r="H502" s="128" t="n"/>
      <c r="L502" s="133" t="n"/>
      <c r="O502" s="128" t="n"/>
      <c r="V502" s="133" t="n"/>
      <c r="W502" s="133" t="n"/>
    </row>
    <row r="503">
      <c r="H503" s="128" t="n"/>
      <c r="L503" s="133" t="n"/>
      <c r="O503" s="128" t="n"/>
      <c r="V503" s="133" t="n"/>
      <c r="W503" s="133" t="n"/>
    </row>
    <row r="504">
      <c r="H504" s="128" t="n"/>
      <c r="L504" s="133" t="n"/>
      <c r="O504" s="128" t="n"/>
      <c r="V504" s="133" t="n"/>
      <c r="W504" s="133" t="n"/>
    </row>
    <row r="505">
      <c r="H505" s="128" t="n"/>
      <c r="L505" s="133" t="n"/>
      <c r="O505" s="128" t="n"/>
      <c r="V505" s="133" t="n"/>
      <c r="W505" s="133" t="n"/>
    </row>
    <row r="506">
      <c r="H506" s="128" t="n"/>
      <c r="L506" s="133" t="n"/>
      <c r="O506" s="128" t="n"/>
      <c r="V506" s="133" t="n"/>
      <c r="W506" s="133" t="n"/>
    </row>
    <row r="507">
      <c r="H507" s="128" t="n"/>
      <c r="L507" s="133" t="n"/>
      <c r="O507" s="128" t="n"/>
      <c r="V507" s="133" t="n"/>
      <c r="W507" s="133" t="n"/>
    </row>
    <row r="508">
      <c r="H508" s="128" t="n"/>
      <c r="L508" s="133" t="n"/>
      <c r="O508" s="128" t="n"/>
      <c r="V508" s="133" t="n"/>
      <c r="W508" s="133" t="n"/>
    </row>
    <row r="509">
      <c r="H509" s="128" t="n"/>
      <c r="L509" s="133" t="n"/>
      <c r="O509" s="128" t="n"/>
      <c r="V509" s="133" t="n"/>
      <c r="W509" s="133" t="n"/>
    </row>
    <row r="510">
      <c r="H510" s="128" t="n"/>
      <c r="L510" s="133" t="n"/>
      <c r="O510" s="128" t="n"/>
      <c r="V510" s="133" t="n"/>
      <c r="W510" s="133" t="n"/>
    </row>
    <row r="511">
      <c r="H511" s="128" t="n"/>
      <c r="L511" s="133" t="n"/>
      <c r="O511" s="128" t="n"/>
      <c r="V511" s="133" t="n"/>
      <c r="W511" s="133" t="n"/>
    </row>
    <row r="512">
      <c r="H512" s="128" t="n"/>
      <c r="L512" s="133" t="n"/>
      <c r="O512" s="128" t="n"/>
      <c r="V512" s="133" t="n"/>
      <c r="W512" s="133" t="n"/>
    </row>
    <row r="513">
      <c r="H513" s="128" t="n"/>
      <c r="L513" s="133" t="n"/>
      <c r="O513" s="128" t="n"/>
      <c r="V513" s="133" t="n"/>
      <c r="W513" s="133" t="n"/>
    </row>
    <row r="514">
      <c r="H514" s="128" t="n"/>
      <c r="L514" s="133" t="n"/>
      <c r="O514" s="128" t="n"/>
      <c r="V514" s="133" t="n"/>
      <c r="W514" s="133" t="n"/>
    </row>
    <row r="515">
      <c r="H515" s="128" t="n"/>
      <c r="L515" s="133" t="n"/>
      <c r="O515" s="128" t="n"/>
      <c r="V515" s="133" t="n"/>
      <c r="W515" s="133" t="n"/>
    </row>
    <row r="516">
      <c r="H516" s="128" t="n"/>
      <c r="L516" s="133" t="n"/>
      <c r="O516" s="128" t="n"/>
      <c r="V516" s="133" t="n"/>
      <c r="W516" s="133" t="n"/>
    </row>
    <row r="517">
      <c r="H517" s="128" t="n"/>
      <c r="L517" s="133" t="n"/>
      <c r="O517" s="128" t="n"/>
      <c r="V517" s="133" t="n"/>
      <c r="W517" s="133" t="n"/>
    </row>
    <row r="518">
      <c r="H518" s="128" t="n"/>
      <c r="L518" s="133" t="n"/>
      <c r="O518" s="128" t="n"/>
      <c r="V518" s="133" t="n"/>
      <c r="W518" s="133" t="n"/>
    </row>
    <row r="519">
      <c r="H519" s="128" t="n"/>
      <c r="L519" s="133" t="n"/>
      <c r="O519" s="128" t="n"/>
      <c r="V519" s="133" t="n"/>
      <c r="W519" s="133" t="n"/>
    </row>
    <row r="520">
      <c r="H520" s="128" t="n"/>
      <c r="L520" s="133" t="n"/>
      <c r="O520" s="128" t="n"/>
      <c r="V520" s="133" t="n"/>
      <c r="W520" s="133" t="n"/>
    </row>
    <row r="521">
      <c r="H521" s="128" t="n"/>
      <c r="L521" s="133" t="n"/>
      <c r="O521" s="128" t="n"/>
      <c r="V521" s="133" t="n"/>
      <c r="W521" s="133" t="n"/>
    </row>
    <row r="522">
      <c r="H522" s="128" t="n"/>
      <c r="L522" s="133" t="n"/>
      <c r="O522" s="128" t="n"/>
      <c r="V522" s="133" t="n"/>
      <c r="W522" s="133" t="n"/>
    </row>
    <row r="523">
      <c r="H523" s="128" t="n"/>
      <c r="L523" s="133" t="n"/>
      <c r="O523" s="128" t="n"/>
      <c r="V523" s="133" t="n"/>
      <c r="W523" s="133" t="n"/>
    </row>
    <row r="524">
      <c r="H524" s="128" t="n"/>
      <c r="L524" s="133" t="n"/>
      <c r="O524" s="128" t="n"/>
      <c r="V524" s="133" t="n"/>
      <c r="W524" s="133" t="n"/>
    </row>
    <row r="525">
      <c r="H525" s="128" t="n"/>
      <c r="L525" s="133" t="n"/>
      <c r="O525" s="128" t="n"/>
      <c r="V525" s="133" t="n"/>
      <c r="W525" s="133" t="n"/>
    </row>
    <row r="526">
      <c r="H526" s="128" t="n"/>
      <c r="L526" s="133" t="n"/>
      <c r="O526" s="128" t="n"/>
      <c r="V526" s="133" t="n"/>
      <c r="W526" s="133" t="n"/>
    </row>
    <row r="527">
      <c r="H527" s="128" t="n"/>
      <c r="L527" s="133" t="n"/>
      <c r="O527" s="128" t="n"/>
      <c r="V527" s="133" t="n"/>
      <c r="W527" s="133" t="n"/>
    </row>
    <row r="528">
      <c r="H528" s="128" t="n"/>
      <c r="L528" s="133" t="n"/>
      <c r="O528" s="128" t="n"/>
      <c r="V528" s="133" t="n"/>
      <c r="W528" s="133" t="n"/>
    </row>
    <row r="529">
      <c r="H529" s="128" t="n"/>
      <c r="L529" s="133" t="n"/>
      <c r="O529" s="128" t="n"/>
      <c r="V529" s="133" t="n"/>
      <c r="W529" s="133" t="n"/>
    </row>
    <row r="530">
      <c r="H530" s="128" t="n"/>
      <c r="L530" s="133" t="n"/>
      <c r="O530" s="128" t="n"/>
      <c r="V530" s="133" t="n"/>
      <c r="W530" s="133" t="n"/>
    </row>
    <row r="531">
      <c r="H531" s="128" t="n"/>
      <c r="L531" s="133" t="n"/>
      <c r="O531" s="128" t="n"/>
      <c r="V531" s="133" t="n"/>
      <c r="W531" s="133" t="n"/>
    </row>
    <row r="532">
      <c r="H532" s="128" t="n"/>
      <c r="L532" s="133" t="n"/>
      <c r="O532" s="128" t="n"/>
      <c r="V532" s="133" t="n"/>
      <c r="W532" s="133" t="n"/>
    </row>
    <row r="533">
      <c r="H533" s="128" t="n"/>
      <c r="L533" s="133" t="n"/>
      <c r="O533" s="128" t="n"/>
      <c r="V533" s="133" t="n"/>
      <c r="W533" s="133" t="n"/>
    </row>
    <row r="534">
      <c r="H534" s="128" t="n"/>
      <c r="L534" s="133" t="n"/>
      <c r="O534" s="128" t="n"/>
      <c r="V534" s="133" t="n"/>
      <c r="W534" s="133" t="n"/>
    </row>
    <row r="535">
      <c r="H535" s="128" t="n"/>
      <c r="L535" s="133" t="n"/>
      <c r="O535" s="128" t="n"/>
      <c r="V535" s="133" t="n"/>
      <c r="W535" s="133" t="n"/>
    </row>
    <row r="536">
      <c r="H536" s="128" t="n"/>
      <c r="L536" s="133" t="n"/>
      <c r="O536" s="128" t="n"/>
      <c r="V536" s="133" t="n"/>
      <c r="W536" s="133" t="n"/>
    </row>
    <row r="537">
      <c r="H537" s="128" t="n"/>
      <c r="L537" s="133" t="n"/>
      <c r="O537" s="128" t="n"/>
      <c r="V537" s="133" t="n"/>
      <c r="W537" s="133" t="n"/>
    </row>
    <row r="538">
      <c r="H538" s="128" t="n"/>
      <c r="L538" s="133" t="n"/>
      <c r="O538" s="128" t="n"/>
      <c r="V538" s="133" t="n"/>
      <c r="W538" s="133" t="n"/>
    </row>
    <row r="539">
      <c r="H539" s="128" t="n"/>
      <c r="L539" s="133" t="n"/>
      <c r="O539" s="128" t="n"/>
      <c r="V539" s="133" t="n"/>
      <c r="W539" s="133" t="n"/>
    </row>
    <row r="540">
      <c r="H540" s="128" t="n"/>
      <c r="L540" s="133" t="n"/>
      <c r="O540" s="128" t="n"/>
      <c r="V540" s="133" t="n"/>
      <c r="W540" s="133" t="n"/>
    </row>
    <row r="541">
      <c r="H541" s="128" t="n"/>
      <c r="L541" s="133" t="n"/>
      <c r="O541" s="128" t="n"/>
      <c r="V541" s="133" t="n"/>
      <c r="W541" s="133" t="n"/>
    </row>
    <row r="542">
      <c r="H542" s="128" t="n"/>
      <c r="L542" s="133" t="n"/>
      <c r="O542" s="128" t="n"/>
      <c r="V542" s="133" t="n"/>
      <c r="W542" s="133" t="n"/>
    </row>
    <row r="543">
      <c r="H543" s="128" t="n"/>
      <c r="L543" s="133" t="n"/>
      <c r="O543" s="128" t="n"/>
      <c r="V543" s="133" t="n"/>
      <c r="W543" s="133" t="n"/>
    </row>
    <row r="544">
      <c r="H544" s="128" t="n"/>
      <c r="L544" s="133" t="n"/>
      <c r="O544" s="128" t="n"/>
      <c r="V544" s="133" t="n"/>
      <c r="W544" s="133" t="n"/>
    </row>
    <row r="545">
      <c r="H545" s="128" t="n"/>
      <c r="L545" s="133" t="n"/>
      <c r="O545" s="128" t="n"/>
      <c r="V545" s="133" t="n"/>
      <c r="W545" s="133" t="n"/>
    </row>
    <row r="546">
      <c r="H546" s="128" t="n"/>
      <c r="L546" s="133" t="n"/>
      <c r="O546" s="128" t="n"/>
      <c r="V546" s="133" t="n"/>
      <c r="W546" s="133" t="n"/>
    </row>
    <row r="547">
      <c r="H547" s="128" t="n"/>
      <c r="L547" s="133" t="n"/>
      <c r="O547" s="128" t="n"/>
      <c r="V547" s="133" t="n"/>
      <c r="W547" s="133" t="n"/>
    </row>
    <row r="548">
      <c r="H548" s="128" t="n"/>
      <c r="L548" s="133" t="n"/>
      <c r="O548" s="128" t="n"/>
      <c r="V548" s="133" t="n"/>
      <c r="W548" s="133" t="n"/>
    </row>
    <row r="549">
      <c r="H549" s="128" t="n"/>
      <c r="L549" s="133" t="n"/>
      <c r="O549" s="128" t="n"/>
      <c r="V549" s="133" t="n"/>
      <c r="W549" s="133" t="n"/>
    </row>
    <row r="550">
      <c r="H550" s="128" t="n"/>
      <c r="L550" s="133" t="n"/>
      <c r="O550" s="128" t="n"/>
      <c r="V550" s="133" t="n"/>
      <c r="W550" s="133" t="n"/>
    </row>
    <row r="551">
      <c r="H551" s="128" t="n"/>
      <c r="L551" s="133" t="n"/>
      <c r="O551" s="128" t="n"/>
      <c r="V551" s="133" t="n"/>
      <c r="W551" s="133" t="n"/>
    </row>
    <row r="552">
      <c r="H552" s="128" t="n"/>
      <c r="L552" s="133" t="n"/>
      <c r="O552" s="128" t="n"/>
      <c r="V552" s="133" t="n"/>
      <c r="W552" s="133" t="n"/>
    </row>
    <row r="553">
      <c r="H553" s="128" t="n"/>
      <c r="L553" s="133" t="n"/>
      <c r="O553" s="128" t="n"/>
      <c r="V553" s="133" t="n"/>
      <c r="W553" s="133" t="n"/>
    </row>
    <row r="554">
      <c r="H554" s="128" t="n"/>
      <c r="L554" s="133" t="n"/>
      <c r="O554" s="128" t="n"/>
      <c r="V554" s="133" t="n"/>
      <c r="W554" s="133" t="n"/>
    </row>
    <row r="555">
      <c r="H555" s="128" t="n"/>
      <c r="L555" s="133" t="n"/>
      <c r="O555" s="128" t="n"/>
      <c r="V555" s="133" t="n"/>
      <c r="W555" s="133" t="n"/>
    </row>
    <row r="556">
      <c r="H556" s="128" t="n"/>
      <c r="L556" s="133" t="n"/>
      <c r="O556" s="128" t="n"/>
      <c r="V556" s="133" t="n"/>
      <c r="W556" s="133" t="n"/>
    </row>
    <row r="557">
      <c r="H557" s="128" t="n"/>
      <c r="L557" s="133" t="n"/>
      <c r="O557" s="128" t="n"/>
      <c r="V557" s="133" t="n"/>
      <c r="W557" s="133" t="n"/>
    </row>
    <row r="558">
      <c r="H558" s="128" t="n"/>
      <c r="L558" s="133" t="n"/>
      <c r="O558" s="128" t="n"/>
      <c r="V558" s="133" t="n"/>
      <c r="W558" s="133" t="n"/>
    </row>
    <row r="559">
      <c r="H559" s="128" t="n"/>
      <c r="L559" s="133" t="n"/>
      <c r="O559" s="128" t="n"/>
      <c r="V559" s="133" t="n"/>
      <c r="W559" s="133" t="n"/>
    </row>
    <row r="560">
      <c r="H560" s="128" t="n"/>
      <c r="L560" s="133" t="n"/>
      <c r="O560" s="128" t="n"/>
      <c r="V560" s="133" t="n"/>
      <c r="W560" s="133" t="n"/>
    </row>
    <row r="561">
      <c r="H561" s="128" t="n"/>
      <c r="L561" s="133" t="n"/>
      <c r="O561" s="128" t="n"/>
      <c r="V561" s="133" t="n"/>
      <c r="W561" s="133" t="n"/>
    </row>
    <row r="562">
      <c r="H562" s="128" t="n"/>
      <c r="L562" s="133" t="n"/>
      <c r="O562" s="128" t="n"/>
      <c r="V562" s="133" t="n"/>
      <c r="W562" s="133" t="n"/>
    </row>
    <row r="563">
      <c r="H563" s="128" t="n"/>
      <c r="L563" s="133" t="n"/>
      <c r="O563" s="128" t="n"/>
      <c r="V563" s="133" t="n"/>
      <c r="W563" s="133" t="n"/>
    </row>
    <row r="564">
      <c r="H564" s="128" t="n"/>
      <c r="L564" s="133" t="n"/>
      <c r="O564" s="128" t="n"/>
      <c r="V564" s="133" t="n"/>
      <c r="W564" s="133" t="n"/>
    </row>
    <row r="565">
      <c r="H565" s="128" t="n"/>
      <c r="L565" s="133" t="n"/>
      <c r="O565" s="128" t="n"/>
      <c r="V565" s="133" t="n"/>
      <c r="W565" s="133" t="n"/>
    </row>
    <row r="566">
      <c r="H566" s="128" t="n"/>
      <c r="L566" s="133" t="n"/>
      <c r="O566" s="128" t="n"/>
      <c r="V566" s="133" t="n"/>
      <c r="W566" s="133" t="n"/>
    </row>
    <row r="567">
      <c r="H567" s="128" t="n"/>
      <c r="L567" s="133" t="n"/>
      <c r="O567" s="128" t="n"/>
      <c r="V567" s="133" t="n"/>
      <c r="W567" s="133" t="n"/>
    </row>
    <row r="568">
      <c r="H568" s="128" t="n"/>
      <c r="L568" s="133" t="n"/>
      <c r="O568" s="128" t="n"/>
      <c r="V568" s="133" t="n"/>
      <c r="W568" s="133" t="n"/>
    </row>
    <row r="569">
      <c r="H569" s="128" t="n"/>
      <c r="L569" s="133" t="n"/>
      <c r="O569" s="128" t="n"/>
      <c r="V569" s="133" t="n"/>
      <c r="W569" s="133" t="n"/>
    </row>
    <row r="570">
      <c r="H570" s="128" t="n"/>
      <c r="L570" s="133" t="n"/>
      <c r="O570" s="128" t="n"/>
      <c r="V570" s="133" t="n"/>
      <c r="W570" s="133" t="n"/>
    </row>
    <row r="571">
      <c r="H571" s="128" t="n"/>
      <c r="L571" s="133" t="n"/>
      <c r="O571" s="128" t="n"/>
      <c r="V571" s="133" t="n"/>
      <c r="W571" s="133" t="n"/>
    </row>
    <row r="572">
      <c r="H572" s="128" t="n"/>
      <c r="L572" s="133" t="n"/>
      <c r="O572" s="128" t="n"/>
      <c r="V572" s="133" t="n"/>
      <c r="W572" s="133" t="n"/>
    </row>
    <row r="573">
      <c r="H573" s="128" t="n"/>
      <c r="L573" s="133" t="n"/>
      <c r="O573" s="128" t="n"/>
      <c r="V573" s="133" t="n"/>
      <c r="W573" s="133" t="n"/>
    </row>
    <row r="574">
      <c r="H574" s="128" t="n"/>
      <c r="L574" s="133" t="n"/>
      <c r="O574" s="128" t="n"/>
      <c r="V574" s="133" t="n"/>
      <c r="W574" s="133" t="n"/>
    </row>
    <row r="575">
      <c r="H575" s="128" t="n"/>
      <c r="L575" s="133" t="n"/>
      <c r="O575" s="128" t="n"/>
      <c r="V575" s="133" t="n"/>
      <c r="W575" s="133" t="n"/>
    </row>
    <row r="576">
      <c r="H576" s="128" t="n"/>
      <c r="L576" s="133" t="n"/>
      <c r="O576" s="128" t="n"/>
      <c r="V576" s="133" t="n"/>
      <c r="W576" s="133" t="n"/>
    </row>
    <row r="577">
      <c r="H577" s="128" t="n"/>
      <c r="L577" s="133" t="n"/>
      <c r="O577" s="128" t="n"/>
      <c r="V577" s="133" t="n"/>
      <c r="W577" s="133" t="n"/>
    </row>
    <row r="578">
      <c r="H578" s="128" t="n"/>
      <c r="L578" s="133" t="n"/>
      <c r="O578" s="128" t="n"/>
      <c r="V578" s="133" t="n"/>
      <c r="W578" s="133" t="n"/>
    </row>
    <row r="579">
      <c r="H579" s="128" t="n"/>
      <c r="L579" s="133" t="n"/>
      <c r="O579" s="128" t="n"/>
      <c r="V579" s="133" t="n"/>
      <c r="W579" s="133" t="n"/>
    </row>
    <row r="580">
      <c r="H580" s="128" t="n"/>
      <c r="L580" s="133" t="n"/>
      <c r="O580" s="128" t="n"/>
      <c r="V580" s="133" t="n"/>
      <c r="W580" s="133" t="n"/>
    </row>
    <row r="581">
      <c r="H581" s="128" t="n"/>
      <c r="L581" s="133" t="n"/>
      <c r="O581" s="128" t="n"/>
      <c r="V581" s="133" t="n"/>
      <c r="W581" s="133" t="n"/>
    </row>
    <row r="582">
      <c r="H582" s="128" t="n"/>
      <c r="L582" s="133" t="n"/>
      <c r="O582" s="128" t="n"/>
      <c r="V582" s="133" t="n"/>
      <c r="W582" s="133" t="n"/>
    </row>
    <row r="583">
      <c r="H583" s="128" t="n"/>
      <c r="L583" s="133" t="n"/>
      <c r="O583" s="128" t="n"/>
      <c r="V583" s="133" t="n"/>
      <c r="W583" s="133" t="n"/>
    </row>
    <row r="584">
      <c r="H584" s="128" t="n"/>
      <c r="L584" s="133" t="n"/>
      <c r="O584" s="128" t="n"/>
      <c r="V584" s="133" t="n"/>
      <c r="W584" s="133" t="n"/>
    </row>
    <row r="585">
      <c r="H585" s="128" t="n"/>
      <c r="L585" s="133" t="n"/>
      <c r="O585" s="128" t="n"/>
      <c r="V585" s="133" t="n"/>
      <c r="W585" s="133" t="n"/>
    </row>
    <row r="586">
      <c r="H586" s="128" t="n"/>
      <c r="L586" s="133" t="n"/>
      <c r="O586" s="128" t="n"/>
      <c r="V586" s="133" t="n"/>
      <c r="W586" s="133" t="n"/>
    </row>
    <row r="587">
      <c r="H587" s="128" t="n"/>
      <c r="L587" s="133" t="n"/>
      <c r="O587" s="128" t="n"/>
      <c r="V587" s="133" t="n"/>
      <c r="W587" s="133" t="n"/>
    </row>
    <row r="588">
      <c r="H588" s="128" t="n"/>
      <c r="L588" s="133" t="n"/>
      <c r="O588" s="128" t="n"/>
      <c r="V588" s="133" t="n"/>
      <c r="W588" s="133" t="n"/>
    </row>
    <row r="589">
      <c r="H589" s="128" t="n"/>
      <c r="L589" s="133" t="n"/>
      <c r="O589" s="128" t="n"/>
      <c r="V589" s="133" t="n"/>
      <c r="W589" s="133" t="n"/>
    </row>
    <row r="590">
      <c r="H590" s="128" t="n"/>
      <c r="L590" s="133" t="n"/>
      <c r="O590" s="128" t="n"/>
      <c r="V590" s="133" t="n"/>
      <c r="W590" s="133" t="n"/>
    </row>
    <row r="591">
      <c r="H591" s="128" t="n"/>
      <c r="L591" s="133" t="n"/>
      <c r="O591" s="128" t="n"/>
      <c r="V591" s="133" t="n"/>
      <c r="W591" s="133" t="n"/>
    </row>
    <row r="592">
      <c r="H592" s="128" t="n"/>
      <c r="L592" s="133" t="n"/>
      <c r="O592" s="128" t="n"/>
      <c r="V592" s="133" t="n"/>
      <c r="W592" s="133" t="n"/>
    </row>
    <row r="593">
      <c r="H593" s="128" t="n"/>
      <c r="L593" s="133" t="n"/>
      <c r="O593" s="128" t="n"/>
      <c r="V593" s="133" t="n"/>
      <c r="W593" s="133" t="n"/>
    </row>
    <row r="594">
      <c r="H594" s="128" t="n"/>
      <c r="L594" s="133" t="n"/>
      <c r="O594" s="128" t="n"/>
      <c r="V594" s="133" t="n"/>
      <c r="W594" s="133" t="n"/>
    </row>
    <row r="595">
      <c r="H595" s="128" t="n"/>
      <c r="L595" s="133" t="n"/>
      <c r="O595" s="128" t="n"/>
      <c r="V595" s="133" t="n"/>
      <c r="W595" s="133" t="n"/>
    </row>
    <row r="596">
      <c r="H596" s="128" t="n"/>
      <c r="L596" s="133" t="n"/>
      <c r="O596" s="128" t="n"/>
      <c r="V596" s="133" t="n"/>
      <c r="W596" s="133" t="n"/>
    </row>
    <row r="597">
      <c r="H597" s="128" t="n"/>
      <c r="L597" s="133" t="n"/>
      <c r="O597" s="128" t="n"/>
      <c r="V597" s="133" t="n"/>
      <c r="W597" s="133" t="n"/>
    </row>
    <row r="598">
      <c r="H598" s="128" t="n"/>
      <c r="L598" s="133" t="n"/>
      <c r="O598" s="128" t="n"/>
      <c r="V598" s="133" t="n"/>
      <c r="W598" s="133" t="n"/>
    </row>
    <row r="599">
      <c r="H599" s="128" t="n"/>
      <c r="L599" s="133" t="n"/>
      <c r="O599" s="128" t="n"/>
      <c r="V599" s="133" t="n"/>
      <c r="W599" s="133" t="n"/>
    </row>
    <row r="600">
      <c r="H600" s="128" t="n"/>
      <c r="L600" s="133" t="n"/>
      <c r="O600" s="128" t="n"/>
      <c r="V600" s="133" t="n"/>
      <c r="W600" s="133" t="n"/>
    </row>
    <row r="601">
      <c r="H601" s="128" t="n"/>
      <c r="L601" s="133" t="n"/>
      <c r="O601" s="128" t="n"/>
      <c r="V601" s="133" t="n"/>
      <c r="W601" s="133" t="n"/>
    </row>
    <row r="602">
      <c r="H602" s="128" t="n"/>
      <c r="L602" s="133" t="n"/>
      <c r="O602" s="128" t="n"/>
      <c r="V602" s="133" t="n"/>
      <c r="W602" s="133" t="n"/>
    </row>
    <row r="603">
      <c r="H603" s="128" t="n"/>
      <c r="L603" s="133" t="n"/>
      <c r="O603" s="128" t="n"/>
      <c r="V603" s="133" t="n"/>
      <c r="W603" s="133" t="n"/>
    </row>
    <row r="604">
      <c r="H604" s="128" t="n"/>
      <c r="L604" s="133" t="n"/>
      <c r="O604" s="128" t="n"/>
      <c r="V604" s="133" t="n"/>
      <c r="W604" s="133" t="n"/>
    </row>
    <row r="605">
      <c r="H605" s="128" t="n"/>
      <c r="L605" s="133" t="n"/>
      <c r="O605" s="128" t="n"/>
      <c r="V605" s="133" t="n"/>
      <c r="W605" s="133" t="n"/>
    </row>
    <row r="606">
      <c r="H606" s="128" t="n"/>
      <c r="L606" s="133" t="n"/>
      <c r="O606" s="128" t="n"/>
      <c r="V606" s="133" t="n"/>
      <c r="W606" s="133" t="n"/>
    </row>
    <row r="607">
      <c r="H607" s="128" t="n"/>
      <c r="L607" s="133" t="n"/>
      <c r="O607" s="128" t="n"/>
      <c r="V607" s="133" t="n"/>
      <c r="W607" s="133" t="n"/>
    </row>
    <row r="608">
      <c r="H608" s="128" t="n"/>
      <c r="L608" s="133" t="n"/>
      <c r="O608" s="128" t="n"/>
      <c r="V608" s="133" t="n"/>
      <c r="W608" s="133" t="n"/>
    </row>
    <row r="609">
      <c r="H609" s="128" t="n"/>
      <c r="L609" s="133" t="n"/>
      <c r="O609" s="128" t="n"/>
      <c r="V609" s="133" t="n"/>
      <c r="W609" s="133" t="n"/>
    </row>
    <row r="610">
      <c r="H610" s="128" t="n"/>
      <c r="L610" s="133" t="n"/>
      <c r="O610" s="128" t="n"/>
      <c r="V610" s="133" t="n"/>
      <c r="W610" s="133" t="n"/>
    </row>
    <row r="611">
      <c r="H611" s="128" t="n"/>
      <c r="L611" s="133" t="n"/>
      <c r="O611" s="128" t="n"/>
      <c r="V611" s="133" t="n"/>
      <c r="W611" s="133" t="n"/>
    </row>
    <row r="612">
      <c r="H612" s="128" t="n"/>
      <c r="L612" s="133" t="n"/>
      <c r="O612" s="128" t="n"/>
      <c r="V612" s="133" t="n"/>
      <c r="W612" s="133" t="n"/>
    </row>
    <row r="613">
      <c r="H613" s="128" t="n"/>
      <c r="L613" s="133" t="n"/>
      <c r="O613" s="128" t="n"/>
      <c r="V613" s="133" t="n"/>
      <c r="W613" s="133" t="n"/>
    </row>
    <row r="614">
      <c r="H614" s="128" t="n"/>
      <c r="L614" s="133" t="n"/>
      <c r="O614" s="128" t="n"/>
      <c r="V614" s="133" t="n"/>
      <c r="W614" s="133" t="n"/>
    </row>
    <row r="615">
      <c r="H615" s="128" t="n"/>
      <c r="L615" s="133" t="n"/>
      <c r="O615" s="128" t="n"/>
      <c r="V615" s="133" t="n"/>
      <c r="W615" s="133" t="n"/>
    </row>
    <row r="616">
      <c r="H616" s="128" t="n"/>
      <c r="L616" s="133" t="n"/>
      <c r="O616" s="128" t="n"/>
      <c r="V616" s="133" t="n"/>
      <c r="W616" s="133" t="n"/>
    </row>
    <row r="617">
      <c r="H617" s="128" t="n"/>
      <c r="L617" s="133" t="n"/>
      <c r="O617" s="128" t="n"/>
      <c r="V617" s="133" t="n"/>
      <c r="W617" s="133" t="n"/>
    </row>
    <row r="618">
      <c r="H618" s="128" t="n"/>
      <c r="L618" s="133" t="n"/>
      <c r="O618" s="128" t="n"/>
      <c r="V618" s="133" t="n"/>
      <c r="W618" s="133" t="n"/>
    </row>
    <row r="619">
      <c r="H619" s="128" t="n"/>
      <c r="L619" s="133" t="n"/>
      <c r="O619" s="128" t="n"/>
      <c r="V619" s="133" t="n"/>
      <c r="W619" s="133" t="n"/>
    </row>
    <row r="620">
      <c r="H620" s="128" t="n"/>
      <c r="L620" s="133" t="n"/>
      <c r="O620" s="128" t="n"/>
      <c r="V620" s="133" t="n"/>
      <c r="W620" s="133" t="n"/>
    </row>
    <row r="621">
      <c r="H621" s="128" t="n"/>
      <c r="L621" s="133" t="n"/>
      <c r="O621" s="128" t="n"/>
      <c r="V621" s="133" t="n"/>
      <c r="W621" s="133" t="n"/>
    </row>
    <row r="622">
      <c r="H622" s="128" t="n"/>
      <c r="L622" s="133" t="n"/>
      <c r="O622" s="128" t="n"/>
      <c r="V622" s="133" t="n"/>
      <c r="W622" s="133" t="n"/>
    </row>
    <row r="623">
      <c r="H623" s="128" t="n"/>
      <c r="L623" s="133" t="n"/>
      <c r="O623" s="128" t="n"/>
      <c r="V623" s="133" t="n"/>
      <c r="W623" s="133" t="n"/>
    </row>
    <row r="624">
      <c r="H624" s="128" t="n"/>
      <c r="L624" s="133" t="n"/>
      <c r="O624" s="128" t="n"/>
      <c r="V624" s="133" t="n"/>
      <c r="W624" s="133" t="n"/>
    </row>
    <row r="625">
      <c r="H625" s="128" t="n"/>
      <c r="L625" s="133" t="n"/>
      <c r="O625" s="128" t="n"/>
      <c r="V625" s="133" t="n"/>
      <c r="W625" s="133" t="n"/>
    </row>
    <row r="626">
      <c r="H626" s="128" t="n"/>
      <c r="L626" s="133" t="n"/>
      <c r="O626" s="128" t="n"/>
      <c r="V626" s="133" t="n"/>
      <c r="W626" s="133" t="n"/>
    </row>
    <row r="627">
      <c r="H627" s="128" t="n"/>
      <c r="L627" s="133" t="n"/>
      <c r="O627" s="128" t="n"/>
      <c r="V627" s="133" t="n"/>
      <c r="W627" s="133" t="n"/>
    </row>
    <row r="628">
      <c r="H628" s="128" t="n"/>
      <c r="L628" s="133" t="n"/>
      <c r="O628" s="128" t="n"/>
      <c r="V628" s="133" t="n"/>
      <c r="W628" s="133" t="n"/>
    </row>
    <row r="629">
      <c r="H629" s="128" t="n"/>
      <c r="L629" s="133" t="n"/>
      <c r="O629" s="128" t="n"/>
      <c r="V629" s="133" t="n"/>
      <c r="W629" s="133" t="n"/>
    </row>
    <row r="630">
      <c r="H630" s="128" t="n"/>
      <c r="L630" s="133" t="n"/>
      <c r="O630" s="128" t="n"/>
      <c r="V630" s="133" t="n"/>
      <c r="W630" s="133" t="n"/>
    </row>
    <row r="631">
      <c r="H631" s="128" t="n"/>
      <c r="L631" s="133" t="n"/>
      <c r="O631" s="128" t="n"/>
      <c r="V631" s="133" t="n"/>
      <c r="W631" s="133" t="n"/>
    </row>
    <row r="632">
      <c r="H632" s="128" t="n"/>
      <c r="L632" s="133" t="n"/>
      <c r="O632" s="128" t="n"/>
      <c r="V632" s="133" t="n"/>
      <c r="W632" s="133" t="n"/>
    </row>
    <row r="633">
      <c r="H633" s="128" t="n"/>
      <c r="L633" s="133" t="n"/>
      <c r="O633" s="128" t="n"/>
      <c r="V633" s="133" t="n"/>
      <c r="W633" s="133" t="n"/>
    </row>
    <row r="634">
      <c r="H634" s="128" t="n"/>
      <c r="L634" s="133" t="n"/>
      <c r="O634" s="128" t="n"/>
      <c r="V634" s="133" t="n"/>
      <c r="W634" s="133" t="n"/>
    </row>
    <row r="635">
      <c r="H635" s="128" t="n"/>
      <c r="L635" s="133" t="n"/>
      <c r="O635" s="128" t="n"/>
      <c r="V635" s="133" t="n"/>
      <c r="W635" s="133" t="n"/>
    </row>
    <row r="636">
      <c r="H636" s="128" t="n"/>
      <c r="L636" s="133" t="n"/>
      <c r="O636" s="128" t="n"/>
      <c r="V636" s="133" t="n"/>
      <c r="W636" s="133" t="n"/>
    </row>
    <row r="637">
      <c r="H637" s="128" t="n"/>
      <c r="L637" s="133" t="n"/>
      <c r="O637" s="128" t="n"/>
      <c r="V637" s="133" t="n"/>
      <c r="W637" s="133" t="n"/>
    </row>
    <row r="638">
      <c r="H638" s="128" t="n"/>
      <c r="L638" s="133" t="n"/>
      <c r="O638" s="128" t="n"/>
      <c r="V638" s="133" t="n"/>
      <c r="W638" s="133" t="n"/>
    </row>
    <row r="639">
      <c r="H639" s="128" t="n"/>
      <c r="L639" s="133" t="n"/>
      <c r="O639" s="128" t="n"/>
      <c r="V639" s="133" t="n"/>
      <c r="W639" s="133" t="n"/>
    </row>
    <row r="640">
      <c r="H640" s="128" t="n"/>
      <c r="L640" s="133" t="n"/>
      <c r="O640" s="128" t="n"/>
      <c r="V640" s="133" t="n"/>
      <c r="W640" s="133" t="n"/>
    </row>
    <row r="641">
      <c r="H641" s="128" t="n"/>
      <c r="L641" s="133" t="n"/>
      <c r="O641" s="128" t="n"/>
      <c r="V641" s="133" t="n"/>
      <c r="W641" s="133" t="n"/>
    </row>
    <row r="642">
      <c r="H642" s="128" t="n"/>
      <c r="L642" s="133" t="n"/>
      <c r="O642" s="128" t="n"/>
      <c r="V642" s="133" t="n"/>
      <c r="W642" s="133" t="n"/>
    </row>
    <row r="643">
      <c r="H643" s="128" t="n"/>
      <c r="L643" s="133" t="n"/>
      <c r="O643" s="128" t="n"/>
      <c r="V643" s="133" t="n"/>
      <c r="W643" s="133" t="n"/>
    </row>
    <row r="644">
      <c r="H644" s="128" t="n"/>
      <c r="L644" s="133" t="n"/>
      <c r="O644" s="128" t="n"/>
      <c r="V644" s="133" t="n"/>
      <c r="W644" s="133" t="n"/>
    </row>
    <row r="645">
      <c r="H645" s="128" t="n"/>
      <c r="L645" s="133" t="n"/>
      <c r="O645" s="128" t="n"/>
      <c r="V645" s="133" t="n"/>
      <c r="W645" s="133" t="n"/>
    </row>
    <row r="646">
      <c r="H646" s="128" t="n"/>
      <c r="L646" s="133" t="n"/>
      <c r="O646" s="128" t="n"/>
      <c r="V646" s="133" t="n"/>
      <c r="W646" s="133" t="n"/>
    </row>
    <row r="647">
      <c r="H647" s="128" t="n"/>
      <c r="L647" s="133" t="n"/>
      <c r="O647" s="128" t="n"/>
      <c r="V647" s="133" t="n"/>
      <c r="W647" s="133" t="n"/>
    </row>
    <row r="648">
      <c r="H648" s="128" t="n"/>
      <c r="L648" s="133" t="n"/>
      <c r="O648" s="128" t="n"/>
      <c r="V648" s="133" t="n"/>
      <c r="W648" s="133" t="n"/>
    </row>
    <row r="649">
      <c r="H649" s="128" t="n"/>
      <c r="L649" s="133" t="n"/>
      <c r="O649" s="128" t="n"/>
      <c r="V649" s="133" t="n"/>
      <c r="W649" s="133" t="n"/>
    </row>
    <row r="650">
      <c r="H650" s="128" t="n"/>
      <c r="L650" s="133" t="n"/>
      <c r="O650" s="128" t="n"/>
      <c r="V650" s="133" t="n"/>
      <c r="W650" s="133" t="n"/>
    </row>
    <row r="651">
      <c r="H651" s="128" t="n"/>
      <c r="L651" s="133" t="n"/>
      <c r="O651" s="128" t="n"/>
      <c r="V651" s="133" t="n"/>
      <c r="W651" s="133" t="n"/>
    </row>
    <row r="652">
      <c r="H652" s="128" t="n"/>
      <c r="L652" s="133" t="n"/>
      <c r="O652" s="128" t="n"/>
      <c r="V652" s="133" t="n"/>
      <c r="W652" s="133" t="n"/>
    </row>
    <row r="653">
      <c r="H653" s="128" t="n"/>
      <c r="L653" s="133" t="n"/>
      <c r="O653" s="128" t="n"/>
      <c r="V653" s="133" t="n"/>
      <c r="W653" s="133" t="n"/>
    </row>
    <row r="654">
      <c r="H654" s="128" t="n"/>
      <c r="L654" s="133" t="n"/>
      <c r="O654" s="128" t="n"/>
      <c r="V654" s="133" t="n"/>
      <c r="W654" s="133" t="n"/>
    </row>
    <row r="655">
      <c r="H655" s="128" t="n"/>
      <c r="L655" s="133" t="n"/>
      <c r="O655" s="128" t="n"/>
      <c r="V655" s="133" t="n"/>
      <c r="W655" s="133" t="n"/>
    </row>
    <row r="656">
      <c r="H656" s="128" t="n"/>
      <c r="L656" s="133" t="n"/>
      <c r="O656" s="128" t="n"/>
      <c r="V656" s="133" t="n"/>
      <c r="W656" s="133" t="n"/>
    </row>
    <row r="657">
      <c r="H657" s="128" t="n"/>
      <c r="L657" s="133" t="n"/>
      <c r="O657" s="128" t="n"/>
      <c r="V657" s="133" t="n"/>
      <c r="W657" s="133" t="n"/>
    </row>
    <row r="658">
      <c r="H658" s="128" t="n"/>
      <c r="L658" s="133" t="n"/>
      <c r="O658" s="128" t="n"/>
      <c r="V658" s="133" t="n"/>
      <c r="W658" s="133" t="n"/>
    </row>
    <row r="659">
      <c r="H659" s="128" t="n"/>
      <c r="L659" s="133" t="n"/>
      <c r="O659" s="128" t="n"/>
      <c r="V659" s="133" t="n"/>
      <c r="W659" s="133" t="n"/>
    </row>
    <row r="660">
      <c r="H660" s="128" t="n"/>
      <c r="L660" s="133" t="n"/>
      <c r="O660" s="128" t="n"/>
      <c r="V660" s="133" t="n"/>
      <c r="W660" s="133" t="n"/>
    </row>
    <row r="661">
      <c r="H661" s="128" t="n"/>
      <c r="L661" s="133" t="n"/>
      <c r="O661" s="128" t="n"/>
      <c r="V661" s="133" t="n"/>
      <c r="W661" s="133" t="n"/>
    </row>
    <row r="662">
      <c r="H662" s="128" t="n"/>
      <c r="L662" s="133" t="n"/>
      <c r="O662" s="128" t="n"/>
      <c r="V662" s="133" t="n"/>
      <c r="W662" s="133" t="n"/>
    </row>
    <row r="663">
      <c r="H663" s="128" t="n"/>
      <c r="L663" s="133" t="n"/>
      <c r="O663" s="128" t="n"/>
      <c r="V663" s="133" t="n"/>
      <c r="W663" s="133" t="n"/>
    </row>
    <row r="664">
      <c r="H664" s="128" t="n"/>
      <c r="L664" s="133" t="n"/>
      <c r="O664" s="128" t="n"/>
      <c r="V664" s="133" t="n"/>
      <c r="W664" s="133" t="n"/>
    </row>
    <row r="665">
      <c r="H665" s="128" t="n"/>
      <c r="L665" s="133" t="n"/>
      <c r="O665" s="128" t="n"/>
      <c r="V665" s="133" t="n"/>
      <c r="W665" s="133" t="n"/>
    </row>
    <row r="666">
      <c r="H666" s="128" t="n"/>
      <c r="L666" s="133" t="n"/>
      <c r="O666" s="128" t="n"/>
      <c r="V666" s="133" t="n"/>
      <c r="W666" s="133" t="n"/>
    </row>
    <row r="667">
      <c r="H667" s="128" t="n"/>
      <c r="L667" s="133" t="n"/>
      <c r="O667" s="128" t="n"/>
      <c r="V667" s="133" t="n"/>
      <c r="W667" s="133" t="n"/>
    </row>
    <row r="668">
      <c r="H668" s="128" t="n"/>
      <c r="L668" s="133" t="n"/>
      <c r="O668" s="128" t="n"/>
      <c r="V668" s="133" t="n"/>
      <c r="W668" s="133" t="n"/>
    </row>
    <row r="669">
      <c r="H669" s="128" t="n"/>
      <c r="L669" s="133" t="n"/>
      <c r="O669" s="128" t="n"/>
      <c r="V669" s="133" t="n"/>
      <c r="W669" s="133" t="n"/>
    </row>
    <row r="670">
      <c r="H670" s="128" t="n"/>
      <c r="L670" s="133" t="n"/>
      <c r="O670" s="128" t="n"/>
      <c r="V670" s="133" t="n"/>
      <c r="W670" s="133" t="n"/>
    </row>
    <row r="671">
      <c r="H671" s="128" t="n"/>
      <c r="L671" s="133" t="n"/>
      <c r="O671" s="128" t="n"/>
      <c r="V671" s="133" t="n"/>
      <c r="W671" s="133" t="n"/>
    </row>
    <row r="672">
      <c r="H672" s="128" t="n"/>
      <c r="L672" s="133" t="n"/>
      <c r="O672" s="128" t="n"/>
      <c r="V672" s="133" t="n"/>
      <c r="W672" s="133" t="n"/>
    </row>
    <row r="673">
      <c r="H673" s="128" t="n"/>
      <c r="L673" s="133" t="n"/>
      <c r="O673" s="128" t="n"/>
      <c r="V673" s="133" t="n"/>
      <c r="W673" s="133" t="n"/>
    </row>
    <row r="674">
      <c r="H674" s="128" t="n"/>
      <c r="L674" s="133" t="n"/>
      <c r="O674" s="128" t="n"/>
      <c r="V674" s="133" t="n"/>
      <c r="W674" s="133" t="n"/>
    </row>
    <row r="675">
      <c r="H675" s="128" t="n"/>
      <c r="L675" s="133" t="n"/>
      <c r="O675" s="128" t="n"/>
      <c r="V675" s="133" t="n"/>
      <c r="W675" s="133" t="n"/>
    </row>
    <row r="676">
      <c r="H676" s="128" t="n"/>
      <c r="L676" s="133" t="n"/>
      <c r="O676" s="128" t="n"/>
      <c r="V676" s="133" t="n"/>
      <c r="W676" s="133" t="n"/>
    </row>
    <row r="677">
      <c r="H677" s="128" t="n"/>
      <c r="L677" s="133" t="n"/>
      <c r="O677" s="128" t="n"/>
      <c r="V677" s="133" t="n"/>
      <c r="W677" s="133" t="n"/>
    </row>
    <row r="678">
      <c r="H678" s="128" t="n"/>
      <c r="L678" s="133" t="n"/>
      <c r="O678" s="128" t="n"/>
      <c r="V678" s="133" t="n"/>
      <c r="W678" s="133" t="n"/>
    </row>
    <row r="679">
      <c r="H679" s="128" t="n"/>
      <c r="L679" s="133" t="n"/>
      <c r="O679" s="128" t="n"/>
      <c r="V679" s="133" t="n"/>
      <c r="W679" s="133" t="n"/>
    </row>
    <row r="680">
      <c r="H680" s="128" t="n"/>
      <c r="L680" s="133" t="n"/>
      <c r="O680" s="128" t="n"/>
      <c r="V680" s="133" t="n"/>
      <c r="W680" s="133" t="n"/>
    </row>
    <row r="681">
      <c r="H681" s="128" t="n"/>
      <c r="L681" s="133" t="n"/>
      <c r="O681" s="128" t="n"/>
      <c r="V681" s="133" t="n"/>
      <c r="W681" s="133" t="n"/>
    </row>
    <row r="682">
      <c r="H682" s="128" t="n"/>
      <c r="L682" s="133" t="n"/>
      <c r="O682" s="128" t="n"/>
      <c r="V682" s="133" t="n"/>
      <c r="W682" s="133" t="n"/>
    </row>
    <row r="683">
      <c r="H683" s="128" t="n"/>
      <c r="L683" s="133" t="n"/>
      <c r="O683" s="128" t="n"/>
      <c r="V683" s="133" t="n"/>
      <c r="W683" s="133" t="n"/>
    </row>
    <row r="684">
      <c r="H684" s="128" t="n"/>
      <c r="L684" s="133" t="n"/>
      <c r="O684" s="128" t="n"/>
      <c r="V684" s="133" t="n"/>
      <c r="W684" s="133" t="n"/>
    </row>
    <row r="685">
      <c r="H685" s="128" t="n"/>
      <c r="L685" s="133" t="n"/>
      <c r="O685" s="128" t="n"/>
      <c r="V685" s="133" t="n"/>
      <c r="W685" s="133" t="n"/>
    </row>
    <row r="686">
      <c r="H686" s="128" t="n"/>
      <c r="L686" s="133" t="n"/>
      <c r="O686" s="128" t="n"/>
      <c r="V686" s="133" t="n"/>
      <c r="W686" s="133" t="n"/>
    </row>
    <row r="687">
      <c r="H687" s="128" t="n"/>
      <c r="L687" s="133" t="n"/>
      <c r="O687" s="128" t="n"/>
      <c r="V687" s="133" t="n"/>
      <c r="W687" s="133" t="n"/>
    </row>
    <row r="688">
      <c r="H688" s="128" t="n"/>
      <c r="L688" s="133" t="n"/>
      <c r="O688" s="128" t="n"/>
      <c r="V688" s="133" t="n"/>
      <c r="W688" s="133" t="n"/>
    </row>
    <row r="689">
      <c r="H689" s="128" t="n"/>
      <c r="L689" s="133" t="n"/>
      <c r="O689" s="128" t="n"/>
      <c r="V689" s="133" t="n"/>
      <c r="W689" s="133" t="n"/>
    </row>
    <row r="690">
      <c r="H690" s="128" t="n"/>
      <c r="L690" s="133" t="n"/>
      <c r="O690" s="128" t="n"/>
      <c r="V690" s="133" t="n"/>
      <c r="W690" s="133" t="n"/>
    </row>
    <row r="691">
      <c r="H691" s="128" t="n"/>
      <c r="L691" s="133" t="n"/>
      <c r="O691" s="128" t="n"/>
      <c r="V691" s="133" t="n"/>
      <c r="W691" s="133" t="n"/>
    </row>
    <row r="692">
      <c r="H692" s="128" t="n"/>
      <c r="L692" s="133" t="n"/>
      <c r="O692" s="128" t="n"/>
      <c r="V692" s="133" t="n"/>
      <c r="W692" s="133" t="n"/>
    </row>
    <row r="693">
      <c r="H693" s="128" t="n"/>
      <c r="L693" s="133" t="n"/>
      <c r="O693" s="128" t="n"/>
      <c r="V693" s="133" t="n"/>
      <c r="W693" s="133" t="n"/>
    </row>
    <row r="694">
      <c r="H694" s="128" t="n"/>
      <c r="L694" s="133" t="n"/>
      <c r="O694" s="128" t="n"/>
      <c r="V694" s="133" t="n"/>
      <c r="W694" s="133" t="n"/>
    </row>
    <row r="695">
      <c r="H695" s="128" t="n"/>
      <c r="L695" s="133" t="n"/>
      <c r="O695" s="128" t="n"/>
      <c r="V695" s="133" t="n"/>
      <c r="W695" s="133" t="n"/>
    </row>
    <row r="696">
      <c r="H696" s="128" t="n"/>
      <c r="L696" s="133" t="n"/>
      <c r="O696" s="128" t="n"/>
      <c r="V696" s="133" t="n"/>
      <c r="W696" s="133" t="n"/>
    </row>
    <row r="697">
      <c r="H697" s="128" t="n"/>
      <c r="L697" s="133" t="n"/>
      <c r="O697" s="128" t="n"/>
      <c r="V697" s="133" t="n"/>
      <c r="W697" s="133" t="n"/>
    </row>
    <row r="698">
      <c r="H698" s="128" t="n"/>
      <c r="L698" s="133" t="n"/>
      <c r="O698" s="128" t="n"/>
      <c r="V698" s="133" t="n"/>
      <c r="W698" s="133" t="n"/>
    </row>
    <row r="699">
      <c r="H699" s="128" t="n"/>
      <c r="L699" s="133" t="n"/>
      <c r="O699" s="128" t="n"/>
      <c r="V699" s="133" t="n"/>
      <c r="W699" s="133" t="n"/>
    </row>
    <row r="700">
      <c r="H700" s="128" t="n"/>
      <c r="L700" s="133" t="n"/>
      <c r="O700" s="128" t="n"/>
      <c r="V700" s="133" t="n"/>
      <c r="W700" s="133" t="n"/>
    </row>
    <row r="701">
      <c r="H701" s="128" t="n"/>
      <c r="L701" s="133" t="n"/>
      <c r="O701" s="128" t="n"/>
      <c r="V701" s="133" t="n"/>
      <c r="W701" s="133" t="n"/>
    </row>
    <row r="702">
      <c r="H702" s="128" t="n"/>
      <c r="L702" s="133" t="n"/>
      <c r="O702" s="128" t="n"/>
      <c r="V702" s="133" t="n"/>
      <c r="W702" s="133" t="n"/>
    </row>
    <row r="703">
      <c r="H703" s="128" t="n"/>
      <c r="L703" s="133" t="n"/>
      <c r="O703" s="128" t="n"/>
      <c r="V703" s="133" t="n"/>
      <c r="W703" s="133" t="n"/>
    </row>
    <row r="704">
      <c r="H704" s="128" t="n"/>
      <c r="L704" s="133" t="n"/>
      <c r="O704" s="128" t="n"/>
      <c r="V704" s="133" t="n"/>
      <c r="W704" s="133" t="n"/>
    </row>
    <row r="705">
      <c r="H705" s="128" t="n"/>
      <c r="L705" s="133" t="n"/>
      <c r="O705" s="128" t="n"/>
      <c r="V705" s="133" t="n"/>
      <c r="W705" s="133" t="n"/>
    </row>
    <row r="706">
      <c r="H706" s="128" t="n"/>
      <c r="L706" s="133" t="n"/>
      <c r="O706" s="128" t="n"/>
      <c r="V706" s="133" t="n"/>
      <c r="W706" s="133" t="n"/>
    </row>
    <row r="707">
      <c r="H707" s="128" t="n"/>
      <c r="L707" s="133" t="n"/>
      <c r="O707" s="128" t="n"/>
      <c r="V707" s="133" t="n"/>
      <c r="W707" s="133" t="n"/>
    </row>
    <row r="708">
      <c r="H708" s="128" t="n"/>
      <c r="L708" s="133" t="n"/>
      <c r="O708" s="128" t="n"/>
      <c r="V708" s="133" t="n"/>
      <c r="W708" s="133" t="n"/>
    </row>
    <row r="709">
      <c r="H709" s="128" t="n"/>
      <c r="L709" s="133" t="n"/>
      <c r="O709" s="128" t="n"/>
      <c r="V709" s="133" t="n"/>
      <c r="W709" s="133" t="n"/>
    </row>
    <row r="710">
      <c r="H710" s="128" t="n"/>
      <c r="L710" s="133" t="n"/>
      <c r="O710" s="128" t="n"/>
      <c r="V710" s="133" t="n"/>
      <c r="W710" s="133" t="n"/>
    </row>
    <row r="711">
      <c r="H711" s="128" t="n"/>
      <c r="L711" s="133" t="n"/>
      <c r="O711" s="128" t="n"/>
      <c r="V711" s="133" t="n"/>
      <c r="W711" s="133" t="n"/>
    </row>
    <row r="712">
      <c r="H712" s="128" t="n"/>
      <c r="L712" s="133" t="n"/>
      <c r="O712" s="128" t="n"/>
      <c r="V712" s="133" t="n"/>
      <c r="W712" s="133" t="n"/>
    </row>
    <row r="713">
      <c r="H713" s="128" t="n"/>
      <c r="L713" s="133" t="n"/>
      <c r="O713" s="128" t="n"/>
      <c r="V713" s="133" t="n"/>
      <c r="W713" s="133" t="n"/>
    </row>
    <row r="714">
      <c r="H714" s="128" t="n"/>
      <c r="L714" s="133" t="n"/>
      <c r="O714" s="128" t="n"/>
      <c r="V714" s="133" t="n"/>
      <c r="W714" s="133" t="n"/>
    </row>
    <row r="715">
      <c r="H715" s="128" t="n"/>
      <c r="L715" s="133" t="n"/>
      <c r="O715" s="128" t="n"/>
      <c r="V715" s="133" t="n"/>
      <c r="W715" s="133" t="n"/>
    </row>
    <row r="716">
      <c r="H716" s="128" t="n"/>
      <c r="L716" s="133" t="n"/>
      <c r="O716" s="128" t="n"/>
      <c r="V716" s="133" t="n"/>
      <c r="W716" s="133" t="n"/>
    </row>
    <row r="717">
      <c r="H717" s="128" t="n"/>
      <c r="L717" s="133" t="n"/>
      <c r="O717" s="128" t="n"/>
      <c r="V717" s="133" t="n"/>
      <c r="W717" s="133" t="n"/>
    </row>
    <row r="718">
      <c r="H718" s="128" t="n"/>
      <c r="L718" s="133" t="n"/>
      <c r="O718" s="128" t="n"/>
      <c r="V718" s="133" t="n"/>
      <c r="W718" s="133" t="n"/>
    </row>
    <row r="719">
      <c r="H719" s="128" t="n"/>
      <c r="L719" s="133" t="n"/>
      <c r="O719" s="128" t="n"/>
      <c r="V719" s="133" t="n"/>
      <c r="W719" s="133" t="n"/>
    </row>
    <row r="720">
      <c r="H720" s="128" t="n"/>
      <c r="L720" s="133" t="n"/>
      <c r="O720" s="128" t="n"/>
      <c r="V720" s="133" t="n"/>
      <c r="W720" s="133" t="n"/>
    </row>
    <row r="721">
      <c r="H721" s="128" t="n"/>
      <c r="L721" s="133" t="n"/>
      <c r="O721" s="128" t="n"/>
      <c r="V721" s="133" t="n"/>
      <c r="W721" s="133" t="n"/>
    </row>
    <row r="722">
      <c r="H722" s="128" t="n"/>
      <c r="L722" s="133" t="n"/>
      <c r="O722" s="128" t="n"/>
      <c r="V722" s="133" t="n"/>
      <c r="W722" s="133" t="n"/>
    </row>
    <row r="723">
      <c r="H723" s="128" t="n"/>
      <c r="L723" s="133" t="n"/>
      <c r="O723" s="128" t="n"/>
      <c r="V723" s="133" t="n"/>
      <c r="W723" s="133" t="n"/>
    </row>
    <row r="724">
      <c r="H724" s="128" t="n"/>
      <c r="L724" s="133" t="n"/>
      <c r="O724" s="128" t="n"/>
      <c r="V724" s="133" t="n"/>
      <c r="W724" s="133" t="n"/>
    </row>
    <row r="725">
      <c r="H725" s="128" t="n"/>
      <c r="L725" s="133" t="n"/>
      <c r="O725" s="128" t="n"/>
      <c r="V725" s="133" t="n"/>
      <c r="W725" s="133" t="n"/>
    </row>
    <row r="726">
      <c r="H726" s="128" t="n"/>
      <c r="L726" s="133" t="n"/>
      <c r="O726" s="128" t="n"/>
      <c r="V726" s="133" t="n"/>
      <c r="W726" s="133" t="n"/>
    </row>
    <row r="727">
      <c r="H727" s="128" t="n"/>
      <c r="L727" s="133" t="n"/>
      <c r="O727" s="128" t="n"/>
      <c r="V727" s="133" t="n"/>
      <c r="W727" s="133" t="n"/>
    </row>
    <row r="728">
      <c r="H728" s="128" t="n"/>
      <c r="L728" s="133" t="n"/>
      <c r="O728" s="128" t="n"/>
      <c r="V728" s="133" t="n"/>
      <c r="W728" s="133" t="n"/>
    </row>
    <row r="729">
      <c r="H729" s="128" t="n"/>
      <c r="L729" s="133" t="n"/>
      <c r="O729" s="128" t="n"/>
      <c r="V729" s="133" t="n"/>
      <c r="W729" s="133" t="n"/>
    </row>
    <row r="730">
      <c r="H730" s="128" t="n"/>
      <c r="L730" s="133" t="n"/>
      <c r="O730" s="128" t="n"/>
      <c r="V730" s="133" t="n"/>
      <c r="W730" s="133" t="n"/>
    </row>
    <row r="731">
      <c r="H731" s="128" t="n"/>
      <c r="L731" s="133" t="n"/>
      <c r="O731" s="128" t="n"/>
      <c r="V731" s="133" t="n"/>
      <c r="W731" s="133" t="n"/>
    </row>
    <row r="732">
      <c r="H732" s="128" t="n"/>
      <c r="L732" s="133" t="n"/>
      <c r="O732" s="128" t="n"/>
      <c r="V732" s="133" t="n"/>
      <c r="W732" s="133" t="n"/>
    </row>
    <row r="733">
      <c r="H733" s="128" t="n"/>
      <c r="L733" s="133" t="n"/>
      <c r="O733" s="128" t="n"/>
      <c r="V733" s="133" t="n"/>
      <c r="W733" s="133" t="n"/>
    </row>
    <row r="734">
      <c r="H734" s="128" t="n"/>
      <c r="L734" s="133" t="n"/>
      <c r="O734" s="128" t="n"/>
      <c r="V734" s="133" t="n"/>
      <c r="W734" s="133" t="n"/>
    </row>
    <row r="735">
      <c r="H735" s="128" t="n"/>
      <c r="L735" s="133" t="n"/>
      <c r="O735" s="128" t="n"/>
      <c r="V735" s="133" t="n"/>
      <c r="W735" s="133" t="n"/>
    </row>
    <row r="736">
      <c r="H736" s="128" t="n"/>
      <c r="L736" s="133" t="n"/>
      <c r="O736" s="128" t="n"/>
      <c r="V736" s="133" t="n"/>
      <c r="W736" s="133" t="n"/>
    </row>
    <row r="737">
      <c r="H737" s="128" t="n"/>
      <c r="L737" s="133" t="n"/>
      <c r="O737" s="128" t="n"/>
      <c r="V737" s="133" t="n"/>
      <c r="W737" s="133" t="n"/>
    </row>
    <row r="738">
      <c r="H738" s="128" t="n"/>
      <c r="L738" s="133" t="n"/>
      <c r="O738" s="128" t="n"/>
      <c r="V738" s="133" t="n"/>
      <c r="W738" s="133" t="n"/>
    </row>
    <row r="739">
      <c r="H739" s="128" t="n"/>
      <c r="L739" s="133" t="n"/>
      <c r="O739" s="128" t="n"/>
      <c r="V739" s="133" t="n"/>
      <c r="W739" s="133" t="n"/>
    </row>
    <row r="740">
      <c r="H740" s="128" t="n"/>
      <c r="L740" s="133" t="n"/>
      <c r="O740" s="128" t="n"/>
      <c r="V740" s="133" t="n"/>
      <c r="W740" s="133" t="n"/>
    </row>
    <row r="741">
      <c r="H741" s="128" t="n"/>
      <c r="L741" s="133" t="n"/>
      <c r="O741" s="128" t="n"/>
      <c r="V741" s="133" t="n"/>
      <c r="W741" s="133" t="n"/>
    </row>
    <row r="742">
      <c r="H742" s="128" t="n"/>
      <c r="L742" s="133" t="n"/>
      <c r="O742" s="128" t="n"/>
      <c r="V742" s="133" t="n"/>
      <c r="W742" s="133" t="n"/>
    </row>
    <row r="743">
      <c r="H743" s="128" t="n"/>
      <c r="L743" s="133" t="n"/>
      <c r="O743" s="128" t="n"/>
      <c r="V743" s="133" t="n"/>
      <c r="W743" s="133" t="n"/>
    </row>
    <row r="744">
      <c r="H744" s="128" t="n"/>
      <c r="L744" s="133" t="n"/>
      <c r="O744" s="128" t="n"/>
      <c r="V744" s="133" t="n"/>
      <c r="W744" s="133" t="n"/>
    </row>
    <row r="745">
      <c r="H745" s="128" t="n"/>
      <c r="L745" s="133" t="n"/>
      <c r="O745" s="128" t="n"/>
      <c r="V745" s="133" t="n"/>
      <c r="W745" s="133" t="n"/>
    </row>
    <row r="746">
      <c r="H746" s="128" t="n"/>
      <c r="L746" s="133" t="n"/>
      <c r="O746" s="128" t="n"/>
      <c r="V746" s="133" t="n"/>
      <c r="W746" s="133" t="n"/>
    </row>
    <row r="747">
      <c r="H747" s="128" t="n"/>
      <c r="L747" s="133" t="n"/>
      <c r="O747" s="128" t="n"/>
      <c r="V747" s="133" t="n"/>
      <c r="W747" s="133" t="n"/>
    </row>
    <row r="748">
      <c r="H748" s="128" t="n"/>
      <c r="L748" s="133" t="n"/>
      <c r="O748" s="128" t="n"/>
      <c r="V748" s="133" t="n"/>
      <c r="W748" s="133" t="n"/>
    </row>
    <row r="749">
      <c r="H749" s="128" t="n"/>
      <c r="L749" s="133" t="n"/>
      <c r="O749" s="128" t="n"/>
      <c r="V749" s="133" t="n"/>
      <c r="W749" s="133" t="n"/>
    </row>
    <row r="750">
      <c r="H750" s="128" t="n"/>
      <c r="L750" s="133" t="n"/>
      <c r="O750" s="128" t="n"/>
      <c r="V750" s="133" t="n"/>
      <c r="W750" s="133" t="n"/>
    </row>
    <row r="751">
      <c r="H751" s="128" t="n"/>
      <c r="L751" s="133" t="n"/>
      <c r="O751" s="128" t="n"/>
      <c r="V751" s="133" t="n"/>
      <c r="W751" s="133" t="n"/>
    </row>
    <row r="752">
      <c r="H752" s="128" t="n"/>
      <c r="L752" s="133" t="n"/>
      <c r="O752" s="128" t="n"/>
      <c r="V752" s="133" t="n"/>
      <c r="W752" s="133" t="n"/>
    </row>
    <row r="753">
      <c r="H753" s="128" t="n"/>
      <c r="L753" s="133" t="n"/>
      <c r="O753" s="128" t="n"/>
      <c r="V753" s="133" t="n"/>
      <c r="W753" s="133" t="n"/>
    </row>
    <row r="754">
      <c r="H754" s="128" t="n"/>
      <c r="L754" s="133" t="n"/>
      <c r="O754" s="128" t="n"/>
      <c r="V754" s="133" t="n"/>
      <c r="W754" s="133" t="n"/>
    </row>
    <row r="755">
      <c r="H755" s="128" t="n"/>
      <c r="L755" s="133" t="n"/>
      <c r="O755" s="128" t="n"/>
      <c r="V755" s="133" t="n"/>
      <c r="W755" s="133" t="n"/>
    </row>
    <row r="756">
      <c r="H756" s="128" t="n"/>
      <c r="L756" s="133" t="n"/>
      <c r="O756" s="128" t="n"/>
      <c r="V756" s="133" t="n"/>
      <c r="W756" s="133" t="n"/>
    </row>
    <row r="757">
      <c r="H757" s="128" t="n"/>
      <c r="L757" s="133" t="n"/>
      <c r="O757" s="128" t="n"/>
      <c r="V757" s="133" t="n"/>
      <c r="W757" s="133" t="n"/>
    </row>
    <row r="758">
      <c r="H758" s="128" t="n"/>
      <c r="L758" s="133" t="n"/>
      <c r="O758" s="128" t="n"/>
      <c r="V758" s="133" t="n"/>
      <c r="W758" s="133" t="n"/>
    </row>
    <row r="759">
      <c r="H759" s="128" t="n"/>
      <c r="L759" s="133" t="n"/>
      <c r="O759" s="128" t="n"/>
      <c r="V759" s="133" t="n"/>
      <c r="W759" s="133" t="n"/>
    </row>
    <row r="760">
      <c r="H760" s="128" t="n"/>
      <c r="L760" s="133" t="n"/>
      <c r="O760" s="128" t="n"/>
      <c r="V760" s="133" t="n"/>
      <c r="W760" s="133" t="n"/>
    </row>
    <row r="761">
      <c r="H761" s="128" t="n"/>
      <c r="L761" s="133" t="n"/>
      <c r="O761" s="128" t="n"/>
      <c r="V761" s="133" t="n"/>
      <c r="W761" s="133" t="n"/>
    </row>
    <row r="762">
      <c r="H762" s="128" t="n"/>
      <c r="L762" s="133" t="n"/>
      <c r="O762" s="128" t="n"/>
      <c r="V762" s="133" t="n"/>
      <c r="W762" s="133" t="n"/>
    </row>
    <row r="763">
      <c r="H763" s="128" t="n"/>
      <c r="L763" s="133" t="n"/>
      <c r="O763" s="128" t="n"/>
      <c r="V763" s="133" t="n"/>
      <c r="W763" s="133" t="n"/>
    </row>
    <row r="764">
      <c r="H764" s="128" t="n"/>
      <c r="L764" s="133" t="n"/>
      <c r="O764" s="128" t="n"/>
      <c r="V764" s="133" t="n"/>
      <c r="W764" s="133" t="n"/>
    </row>
    <row r="765">
      <c r="H765" s="128" t="n"/>
      <c r="L765" s="133" t="n"/>
      <c r="O765" s="128" t="n"/>
      <c r="V765" s="133" t="n"/>
      <c r="W765" s="133" t="n"/>
    </row>
    <row r="766">
      <c r="H766" s="128" t="n"/>
      <c r="L766" s="133" t="n"/>
      <c r="O766" s="128" t="n"/>
      <c r="V766" s="133" t="n"/>
      <c r="W766" s="133" t="n"/>
    </row>
    <row r="767">
      <c r="H767" s="128" t="n"/>
      <c r="L767" s="133" t="n"/>
      <c r="O767" s="128" t="n"/>
      <c r="V767" s="133" t="n"/>
      <c r="W767" s="133" t="n"/>
    </row>
    <row r="768">
      <c r="H768" s="128" t="n"/>
      <c r="L768" s="133" t="n"/>
      <c r="O768" s="128" t="n"/>
      <c r="V768" s="133" t="n"/>
      <c r="W768" s="133" t="n"/>
    </row>
    <row r="769">
      <c r="H769" s="128" t="n"/>
      <c r="L769" s="133" t="n"/>
      <c r="O769" s="128" t="n"/>
      <c r="V769" s="133" t="n"/>
      <c r="W769" s="133" t="n"/>
    </row>
    <row r="770">
      <c r="H770" s="128" t="n"/>
      <c r="L770" s="133" t="n"/>
      <c r="O770" s="128" t="n"/>
      <c r="V770" s="133" t="n"/>
      <c r="W770" s="133" t="n"/>
    </row>
    <row r="771">
      <c r="H771" s="128" t="n"/>
      <c r="L771" s="133" t="n"/>
      <c r="O771" s="128" t="n"/>
      <c r="V771" s="133" t="n"/>
      <c r="W771" s="133" t="n"/>
    </row>
    <row r="772">
      <c r="H772" s="128" t="n"/>
      <c r="L772" s="133" t="n"/>
      <c r="O772" s="128" t="n"/>
      <c r="V772" s="133" t="n"/>
      <c r="W772" s="133" t="n"/>
    </row>
    <row r="773">
      <c r="H773" s="128" t="n"/>
      <c r="L773" s="133" t="n"/>
      <c r="O773" s="128" t="n"/>
      <c r="V773" s="133" t="n"/>
      <c r="W773" s="133" t="n"/>
    </row>
    <row r="774">
      <c r="H774" s="128" t="n"/>
      <c r="L774" s="133" t="n"/>
      <c r="O774" s="128" t="n"/>
      <c r="V774" s="133" t="n"/>
      <c r="W774" s="133" t="n"/>
    </row>
    <row r="775">
      <c r="H775" s="128" t="n"/>
      <c r="L775" s="133" t="n"/>
      <c r="O775" s="128" t="n"/>
      <c r="V775" s="133" t="n"/>
      <c r="W775" s="133" t="n"/>
    </row>
    <row r="776">
      <c r="H776" s="128" t="n"/>
      <c r="L776" s="133" t="n"/>
      <c r="O776" s="128" t="n"/>
      <c r="V776" s="133" t="n"/>
      <c r="W776" s="133" t="n"/>
    </row>
    <row r="777">
      <c r="H777" s="128" t="n"/>
      <c r="L777" s="133" t="n"/>
      <c r="O777" s="128" t="n"/>
      <c r="V777" s="133" t="n"/>
      <c r="W777" s="133" t="n"/>
    </row>
    <row r="778">
      <c r="H778" s="128" t="n"/>
      <c r="L778" s="133" t="n"/>
      <c r="O778" s="128" t="n"/>
      <c r="V778" s="133" t="n"/>
      <c r="W778" s="133" t="n"/>
    </row>
    <row r="779">
      <c r="H779" s="128" t="n"/>
      <c r="L779" s="133" t="n"/>
      <c r="O779" s="128" t="n"/>
      <c r="V779" s="133" t="n"/>
      <c r="W779" s="133" t="n"/>
    </row>
    <row r="780">
      <c r="H780" s="128" t="n"/>
      <c r="L780" s="133" t="n"/>
      <c r="O780" s="128" t="n"/>
      <c r="V780" s="133" t="n"/>
      <c r="W780" s="133" t="n"/>
    </row>
    <row r="781">
      <c r="H781" s="128" t="n"/>
      <c r="L781" s="133" t="n"/>
      <c r="O781" s="128" t="n"/>
      <c r="V781" s="133" t="n"/>
      <c r="W781" s="133" t="n"/>
    </row>
    <row r="782">
      <c r="H782" s="128" t="n"/>
      <c r="L782" s="133" t="n"/>
      <c r="O782" s="128" t="n"/>
      <c r="V782" s="133" t="n"/>
      <c r="W782" s="133" t="n"/>
    </row>
    <row r="783">
      <c r="H783" s="128" t="n"/>
      <c r="L783" s="133" t="n"/>
      <c r="O783" s="128" t="n"/>
      <c r="V783" s="133" t="n"/>
      <c r="W783" s="133" t="n"/>
    </row>
    <row r="784">
      <c r="H784" s="128" t="n"/>
      <c r="L784" s="133" t="n"/>
      <c r="O784" s="128" t="n"/>
      <c r="V784" s="133" t="n"/>
      <c r="W784" s="133" t="n"/>
    </row>
    <row r="785">
      <c r="H785" s="128" t="n"/>
      <c r="L785" s="133" t="n"/>
      <c r="O785" s="128" t="n"/>
      <c r="V785" s="133" t="n"/>
      <c r="W785" s="133" t="n"/>
    </row>
    <row r="786">
      <c r="H786" s="128" t="n"/>
      <c r="L786" s="133" t="n"/>
      <c r="O786" s="128" t="n"/>
      <c r="V786" s="133" t="n"/>
      <c r="W786" s="133" t="n"/>
    </row>
    <row r="787">
      <c r="H787" s="128" t="n"/>
      <c r="L787" s="133" t="n"/>
      <c r="O787" s="128" t="n"/>
      <c r="V787" s="133" t="n"/>
      <c r="W787" s="133" t="n"/>
    </row>
    <row r="788">
      <c r="H788" s="128" t="n"/>
      <c r="L788" s="133" t="n"/>
      <c r="O788" s="128" t="n"/>
      <c r="V788" s="133" t="n"/>
      <c r="W788" s="133" t="n"/>
    </row>
    <row r="789">
      <c r="H789" s="128" t="n"/>
      <c r="L789" s="133" t="n"/>
      <c r="O789" s="128" t="n"/>
      <c r="V789" s="133" t="n"/>
      <c r="W789" s="133" t="n"/>
    </row>
    <row r="790">
      <c r="H790" s="128" t="n"/>
      <c r="L790" s="133" t="n"/>
      <c r="O790" s="128" t="n"/>
      <c r="V790" s="133" t="n"/>
      <c r="W790" s="133" t="n"/>
    </row>
    <row r="791">
      <c r="H791" s="128" t="n"/>
      <c r="L791" s="133" t="n"/>
      <c r="O791" s="128" t="n"/>
      <c r="V791" s="133" t="n"/>
      <c r="W791" s="133" t="n"/>
    </row>
    <row r="792">
      <c r="H792" s="128" t="n"/>
      <c r="L792" s="133" t="n"/>
      <c r="O792" s="128" t="n"/>
      <c r="V792" s="133" t="n"/>
      <c r="W792" s="133" t="n"/>
    </row>
    <row r="793">
      <c r="H793" s="128" t="n"/>
      <c r="L793" s="133" t="n"/>
      <c r="O793" s="128" t="n"/>
      <c r="V793" s="133" t="n"/>
      <c r="W793" s="133" t="n"/>
    </row>
    <row r="794">
      <c r="H794" s="128" t="n"/>
      <c r="L794" s="133" t="n"/>
      <c r="O794" s="128" t="n"/>
      <c r="V794" s="133" t="n"/>
      <c r="W794" s="133" t="n"/>
    </row>
    <row r="795">
      <c r="H795" s="128" t="n"/>
      <c r="L795" s="133" t="n"/>
      <c r="O795" s="128" t="n"/>
      <c r="V795" s="133" t="n"/>
      <c r="W795" s="133" t="n"/>
    </row>
    <row r="796">
      <c r="H796" s="128" t="n"/>
      <c r="L796" s="133" t="n"/>
      <c r="O796" s="128" t="n"/>
      <c r="V796" s="133" t="n"/>
      <c r="W796" s="133" t="n"/>
    </row>
    <row r="797">
      <c r="H797" s="128" t="n"/>
      <c r="L797" s="133" t="n"/>
      <c r="O797" s="128" t="n"/>
      <c r="V797" s="133" t="n"/>
      <c r="W797" s="133" t="n"/>
    </row>
    <row r="798">
      <c r="H798" s="128" t="n"/>
      <c r="L798" s="133" t="n"/>
      <c r="O798" s="128" t="n"/>
      <c r="V798" s="133" t="n"/>
      <c r="W798" s="133" t="n"/>
    </row>
    <row r="799">
      <c r="H799" s="128" t="n"/>
      <c r="L799" s="133" t="n"/>
      <c r="O799" s="128" t="n"/>
      <c r="V799" s="133" t="n"/>
      <c r="W799" s="133" t="n"/>
    </row>
    <row r="800">
      <c r="H800" s="128" t="n"/>
      <c r="L800" s="133" t="n"/>
      <c r="O800" s="128" t="n"/>
      <c r="V800" s="133" t="n"/>
      <c r="W800" s="133" t="n"/>
    </row>
    <row r="801">
      <c r="H801" s="128" t="n"/>
      <c r="L801" s="133" t="n"/>
      <c r="O801" s="128" t="n"/>
      <c r="V801" s="133" t="n"/>
      <c r="W801" s="133" t="n"/>
    </row>
    <row r="802">
      <c r="H802" s="128" t="n"/>
      <c r="L802" s="133" t="n"/>
      <c r="O802" s="128" t="n"/>
      <c r="V802" s="133" t="n"/>
      <c r="W802" s="133" t="n"/>
    </row>
    <row r="803">
      <c r="H803" s="128" t="n"/>
      <c r="L803" s="133" t="n"/>
      <c r="O803" s="128" t="n"/>
      <c r="V803" s="133" t="n"/>
      <c r="W803" s="133" t="n"/>
    </row>
    <row r="804">
      <c r="H804" s="128" t="n"/>
      <c r="L804" s="133" t="n"/>
      <c r="O804" s="128" t="n"/>
      <c r="V804" s="133" t="n"/>
      <c r="W804" s="133" t="n"/>
    </row>
    <row r="805">
      <c r="H805" s="128" t="n"/>
      <c r="L805" s="133" t="n"/>
      <c r="O805" s="128" t="n"/>
      <c r="V805" s="133" t="n"/>
      <c r="W805" s="133" t="n"/>
    </row>
    <row r="806">
      <c r="H806" s="128" t="n"/>
      <c r="L806" s="133" t="n"/>
      <c r="O806" s="128" t="n"/>
      <c r="V806" s="133" t="n"/>
      <c r="W806" s="133" t="n"/>
    </row>
    <row r="807">
      <c r="H807" s="128" t="n"/>
      <c r="L807" s="133" t="n"/>
      <c r="O807" s="128" t="n"/>
      <c r="V807" s="133" t="n"/>
      <c r="W807" s="133" t="n"/>
    </row>
    <row r="808">
      <c r="H808" s="128" t="n"/>
      <c r="L808" s="133" t="n"/>
      <c r="O808" s="128" t="n"/>
      <c r="V808" s="133" t="n"/>
      <c r="W808" s="133" t="n"/>
    </row>
    <row r="809">
      <c r="H809" s="128" t="n"/>
      <c r="L809" s="133" t="n"/>
      <c r="O809" s="128" t="n"/>
      <c r="V809" s="133" t="n"/>
      <c r="W809" s="133" t="n"/>
    </row>
    <row r="810">
      <c r="H810" s="128" t="n"/>
      <c r="L810" s="133" t="n"/>
      <c r="O810" s="128" t="n"/>
      <c r="V810" s="133" t="n"/>
      <c r="W810" s="133" t="n"/>
    </row>
    <row r="811">
      <c r="H811" s="128" t="n"/>
      <c r="L811" s="133" t="n"/>
      <c r="O811" s="128" t="n"/>
      <c r="V811" s="133" t="n"/>
      <c r="W811" s="133" t="n"/>
    </row>
    <row r="812">
      <c r="H812" s="128" t="n"/>
      <c r="L812" s="133" t="n"/>
      <c r="O812" s="128" t="n"/>
      <c r="V812" s="133" t="n"/>
      <c r="W812" s="133" t="n"/>
    </row>
    <row r="813">
      <c r="H813" s="128" t="n"/>
      <c r="L813" s="133" t="n"/>
      <c r="O813" s="128" t="n"/>
      <c r="V813" s="133" t="n"/>
      <c r="W813" s="133" t="n"/>
    </row>
    <row r="814">
      <c r="H814" s="128" t="n"/>
      <c r="L814" s="133" t="n"/>
      <c r="O814" s="128" t="n"/>
      <c r="V814" s="133" t="n"/>
      <c r="W814" s="133" t="n"/>
    </row>
    <row r="815">
      <c r="H815" s="128" t="n"/>
      <c r="L815" s="133" t="n"/>
      <c r="O815" s="128" t="n"/>
      <c r="V815" s="133" t="n"/>
      <c r="W815" s="133" t="n"/>
    </row>
    <row r="816">
      <c r="H816" s="128" t="n"/>
      <c r="L816" s="133" t="n"/>
      <c r="O816" s="128" t="n"/>
      <c r="V816" s="133" t="n"/>
      <c r="W816" s="133" t="n"/>
    </row>
    <row r="817">
      <c r="H817" s="128" t="n"/>
      <c r="L817" s="133" t="n"/>
      <c r="O817" s="128" t="n"/>
      <c r="V817" s="133" t="n"/>
      <c r="W817" s="133" t="n"/>
    </row>
    <row r="818">
      <c r="H818" s="128" t="n"/>
      <c r="L818" s="133" t="n"/>
      <c r="O818" s="128" t="n"/>
      <c r="V818" s="133" t="n"/>
      <c r="W818" s="133" t="n"/>
    </row>
    <row r="819">
      <c r="H819" s="128" t="n"/>
      <c r="L819" s="133" t="n"/>
      <c r="O819" s="128" t="n"/>
      <c r="V819" s="133" t="n"/>
      <c r="W819" s="133" t="n"/>
    </row>
    <row r="820">
      <c r="H820" s="128" t="n"/>
      <c r="L820" s="133" t="n"/>
      <c r="O820" s="128" t="n"/>
      <c r="V820" s="133" t="n"/>
      <c r="W820" s="133" t="n"/>
    </row>
    <row r="821">
      <c r="H821" s="128" t="n"/>
      <c r="L821" s="133" t="n"/>
      <c r="O821" s="128" t="n"/>
      <c r="V821" s="133" t="n"/>
      <c r="W821" s="133" t="n"/>
    </row>
    <row r="822">
      <c r="H822" s="128" t="n"/>
      <c r="L822" s="133" t="n"/>
      <c r="O822" s="128" t="n"/>
      <c r="V822" s="133" t="n"/>
      <c r="W822" s="133" t="n"/>
    </row>
    <row r="823">
      <c r="H823" s="128" t="n"/>
      <c r="L823" s="133" t="n"/>
      <c r="O823" s="128" t="n"/>
      <c r="V823" s="133" t="n"/>
      <c r="W823" s="133" t="n"/>
    </row>
    <row r="824">
      <c r="H824" s="128" t="n"/>
      <c r="L824" s="133" t="n"/>
      <c r="O824" s="128" t="n"/>
      <c r="V824" s="133" t="n"/>
      <c r="W824" s="133" t="n"/>
    </row>
    <row r="825">
      <c r="H825" s="128" t="n"/>
      <c r="L825" s="133" t="n"/>
      <c r="O825" s="128" t="n"/>
      <c r="V825" s="133" t="n"/>
      <c r="W825" s="133" t="n"/>
    </row>
    <row r="826">
      <c r="H826" s="128" t="n"/>
      <c r="L826" s="133" t="n"/>
      <c r="O826" s="128" t="n"/>
      <c r="V826" s="133" t="n"/>
      <c r="W826" s="133" t="n"/>
    </row>
    <row r="827">
      <c r="H827" s="128" t="n"/>
      <c r="L827" s="133" t="n"/>
      <c r="O827" s="128" t="n"/>
      <c r="V827" s="133" t="n"/>
      <c r="W827" s="133" t="n"/>
    </row>
    <row r="828">
      <c r="H828" s="128" t="n"/>
      <c r="L828" s="133" t="n"/>
      <c r="O828" s="128" t="n"/>
      <c r="V828" s="133" t="n"/>
      <c r="W828" s="133" t="n"/>
    </row>
    <row r="829">
      <c r="H829" s="128" t="n"/>
      <c r="L829" s="133" t="n"/>
      <c r="O829" s="128" t="n"/>
      <c r="V829" s="133" t="n"/>
      <c r="W829" s="133" t="n"/>
    </row>
    <row r="830">
      <c r="H830" s="128" t="n"/>
      <c r="L830" s="133" t="n"/>
      <c r="O830" s="128" t="n"/>
      <c r="V830" s="133" t="n"/>
      <c r="W830" s="133" t="n"/>
    </row>
    <row r="831">
      <c r="H831" s="128" t="n"/>
      <c r="L831" s="133" t="n"/>
      <c r="O831" s="128" t="n"/>
      <c r="V831" s="133" t="n"/>
      <c r="W831" s="133" t="n"/>
    </row>
    <row r="832">
      <c r="H832" s="128" t="n"/>
      <c r="L832" s="133" t="n"/>
      <c r="O832" s="128" t="n"/>
      <c r="V832" s="133" t="n"/>
      <c r="W832" s="133" t="n"/>
    </row>
    <row r="833">
      <c r="H833" s="128" t="n"/>
      <c r="L833" s="133" t="n"/>
      <c r="O833" s="128" t="n"/>
      <c r="V833" s="133" t="n"/>
      <c r="W833" s="133" t="n"/>
    </row>
    <row r="834">
      <c r="H834" s="128" t="n"/>
      <c r="L834" s="133" t="n"/>
      <c r="O834" s="128" t="n"/>
      <c r="V834" s="133" t="n"/>
      <c r="W834" s="133" t="n"/>
    </row>
    <row r="835">
      <c r="H835" s="128" t="n"/>
      <c r="L835" s="133" t="n"/>
      <c r="O835" s="128" t="n"/>
      <c r="V835" s="133" t="n"/>
      <c r="W835" s="133" t="n"/>
    </row>
    <row r="836">
      <c r="H836" s="128" t="n"/>
      <c r="L836" s="133" t="n"/>
      <c r="O836" s="128" t="n"/>
      <c r="V836" s="133" t="n"/>
      <c r="W836" s="133" t="n"/>
    </row>
    <row r="837">
      <c r="H837" s="128" t="n"/>
      <c r="L837" s="133" t="n"/>
      <c r="O837" s="128" t="n"/>
      <c r="V837" s="133" t="n"/>
      <c r="W837" s="133" t="n"/>
    </row>
    <row r="838">
      <c r="H838" s="128" t="n"/>
      <c r="L838" s="133" t="n"/>
      <c r="O838" s="128" t="n"/>
      <c r="V838" s="133" t="n"/>
      <c r="W838" s="133" t="n"/>
    </row>
    <row r="839">
      <c r="H839" s="128" t="n"/>
      <c r="L839" s="133" t="n"/>
      <c r="O839" s="128" t="n"/>
      <c r="V839" s="133" t="n"/>
      <c r="W839" s="133" t="n"/>
    </row>
    <row r="840">
      <c r="H840" s="128" t="n"/>
      <c r="L840" s="133" t="n"/>
      <c r="O840" s="128" t="n"/>
      <c r="V840" s="133" t="n"/>
      <c r="W840" s="133" t="n"/>
    </row>
    <row r="841">
      <c r="H841" s="128" t="n"/>
      <c r="L841" s="133" t="n"/>
      <c r="O841" s="128" t="n"/>
      <c r="V841" s="133" t="n"/>
      <c r="W841" s="133" t="n"/>
    </row>
    <row r="842">
      <c r="H842" s="128" t="n"/>
      <c r="L842" s="133" t="n"/>
      <c r="O842" s="128" t="n"/>
      <c r="V842" s="133" t="n"/>
      <c r="W842" s="133" t="n"/>
    </row>
    <row r="843">
      <c r="H843" s="128" t="n"/>
      <c r="L843" s="133" t="n"/>
      <c r="O843" s="128" t="n"/>
      <c r="V843" s="133" t="n"/>
      <c r="W843" s="133" t="n"/>
    </row>
    <row r="844">
      <c r="H844" s="128" t="n"/>
      <c r="L844" s="133" t="n"/>
      <c r="O844" s="128" t="n"/>
      <c r="V844" s="133" t="n"/>
      <c r="W844" s="133" t="n"/>
    </row>
    <row r="845">
      <c r="H845" s="128" t="n"/>
      <c r="L845" s="133" t="n"/>
      <c r="O845" s="128" t="n"/>
      <c r="V845" s="133" t="n"/>
      <c r="W845" s="133" t="n"/>
    </row>
    <row r="846">
      <c r="H846" s="128" t="n"/>
      <c r="L846" s="133" t="n"/>
      <c r="O846" s="128" t="n"/>
      <c r="V846" s="133" t="n"/>
      <c r="W846" s="133" t="n"/>
    </row>
    <row r="847">
      <c r="H847" s="128" t="n"/>
      <c r="L847" s="133" t="n"/>
      <c r="O847" s="128" t="n"/>
      <c r="V847" s="133" t="n"/>
      <c r="W847" s="133" t="n"/>
    </row>
    <row r="848">
      <c r="H848" s="128" t="n"/>
      <c r="L848" s="133" t="n"/>
      <c r="O848" s="128" t="n"/>
      <c r="V848" s="133" t="n"/>
      <c r="W848" s="133" t="n"/>
    </row>
    <row r="849">
      <c r="H849" s="128" t="n"/>
      <c r="L849" s="133" t="n"/>
      <c r="O849" s="128" t="n"/>
      <c r="V849" s="133" t="n"/>
      <c r="W849" s="133" t="n"/>
    </row>
    <row r="850">
      <c r="H850" s="128" t="n"/>
      <c r="L850" s="133" t="n"/>
      <c r="O850" s="128" t="n"/>
      <c r="V850" s="133" t="n"/>
      <c r="W850" s="133" t="n"/>
    </row>
    <row r="851">
      <c r="H851" s="128" t="n"/>
      <c r="L851" s="133" t="n"/>
      <c r="O851" s="128" t="n"/>
      <c r="V851" s="133" t="n"/>
      <c r="W851" s="133" t="n"/>
    </row>
    <row r="852">
      <c r="H852" s="128" t="n"/>
      <c r="L852" s="133" t="n"/>
      <c r="O852" s="128" t="n"/>
      <c r="V852" s="133" t="n"/>
      <c r="W852" s="133" t="n"/>
    </row>
    <row r="853">
      <c r="H853" s="128" t="n"/>
      <c r="L853" s="133" t="n"/>
      <c r="O853" s="128" t="n"/>
      <c r="V853" s="133" t="n"/>
      <c r="W853" s="133" t="n"/>
    </row>
    <row r="854">
      <c r="H854" s="128" t="n"/>
      <c r="L854" s="133" t="n"/>
      <c r="O854" s="128" t="n"/>
      <c r="V854" s="133" t="n"/>
      <c r="W854" s="133" t="n"/>
    </row>
    <row r="855">
      <c r="H855" s="128" t="n"/>
      <c r="L855" s="133" t="n"/>
      <c r="O855" s="128" t="n"/>
      <c r="V855" s="133" t="n"/>
      <c r="W855" s="133" t="n"/>
    </row>
    <row r="856">
      <c r="H856" s="128" t="n"/>
      <c r="L856" s="133" t="n"/>
      <c r="O856" s="128" t="n"/>
      <c r="V856" s="133" t="n"/>
      <c r="W856" s="133" t="n"/>
    </row>
    <row r="857">
      <c r="H857" s="128" t="n"/>
      <c r="L857" s="133" t="n"/>
      <c r="O857" s="128" t="n"/>
      <c r="V857" s="133" t="n"/>
      <c r="W857" s="133" t="n"/>
    </row>
    <row r="858">
      <c r="H858" s="128" t="n"/>
      <c r="L858" s="133" t="n"/>
      <c r="O858" s="128" t="n"/>
      <c r="V858" s="133" t="n"/>
      <c r="W858" s="133" t="n"/>
    </row>
    <row r="859">
      <c r="H859" s="128" t="n"/>
      <c r="L859" s="133" t="n"/>
      <c r="O859" s="128" t="n"/>
      <c r="V859" s="133" t="n"/>
      <c r="W859" s="133" t="n"/>
    </row>
    <row r="860">
      <c r="H860" s="128" t="n"/>
      <c r="L860" s="133" t="n"/>
      <c r="O860" s="128" t="n"/>
      <c r="V860" s="133" t="n"/>
      <c r="W860" s="133" t="n"/>
    </row>
    <row r="861">
      <c r="H861" s="128" t="n"/>
      <c r="L861" s="133" t="n"/>
      <c r="O861" s="128" t="n"/>
      <c r="V861" s="133" t="n"/>
      <c r="W861" s="133" t="n"/>
    </row>
    <row r="862">
      <c r="H862" s="128" t="n"/>
      <c r="L862" s="133" t="n"/>
      <c r="O862" s="128" t="n"/>
      <c r="V862" s="133" t="n"/>
      <c r="W862" s="133" t="n"/>
    </row>
    <row r="863">
      <c r="H863" s="128" t="n"/>
      <c r="L863" s="133" t="n"/>
      <c r="O863" s="128" t="n"/>
      <c r="V863" s="133" t="n"/>
      <c r="W863" s="133" t="n"/>
    </row>
    <row r="864">
      <c r="H864" s="128" t="n"/>
      <c r="L864" s="133" t="n"/>
      <c r="O864" s="128" t="n"/>
      <c r="V864" s="133" t="n"/>
      <c r="W864" s="133" t="n"/>
    </row>
    <row r="865">
      <c r="H865" s="128" t="n"/>
      <c r="L865" s="133" t="n"/>
      <c r="O865" s="128" t="n"/>
      <c r="V865" s="133" t="n"/>
      <c r="W865" s="133" t="n"/>
    </row>
    <row r="866">
      <c r="H866" s="128" t="n"/>
      <c r="L866" s="133" t="n"/>
      <c r="O866" s="128" t="n"/>
      <c r="V866" s="133" t="n"/>
      <c r="W866" s="133" t="n"/>
    </row>
    <row r="867">
      <c r="H867" s="128" t="n"/>
      <c r="L867" s="133" t="n"/>
      <c r="O867" s="128" t="n"/>
      <c r="V867" s="133" t="n"/>
      <c r="W867" s="133" t="n"/>
    </row>
    <row r="868">
      <c r="H868" s="128" t="n"/>
      <c r="L868" s="133" t="n"/>
      <c r="O868" s="128" t="n"/>
      <c r="V868" s="133" t="n"/>
      <c r="W868" s="133" t="n"/>
    </row>
    <row r="869">
      <c r="H869" s="128" t="n"/>
      <c r="L869" s="133" t="n"/>
      <c r="O869" s="128" t="n"/>
      <c r="V869" s="133" t="n"/>
      <c r="W869" s="133" t="n"/>
    </row>
    <row r="870">
      <c r="H870" s="128" t="n"/>
      <c r="L870" s="133" t="n"/>
      <c r="O870" s="128" t="n"/>
      <c r="V870" s="133" t="n"/>
      <c r="W870" s="133" t="n"/>
    </row>
    <row r="871">
      <c r="H871" s="128" t="n"/>
      <c r="L871" s="133" t="n"/>
      <c r="O871" s="128" t="n"/>
      <c r="V871" s="133" t="n"/>
      <c r="W871" s="133" t="n"/>
    </row>
    <row r="872">
      <c r="H872" s="128" t="n"/>
      <c r="L872" s="133" t="n"/>
      <c r="O872" s="128" t="n"/>
      <c r="V872" s="133" t="n"/>
      <c r="W872" s="133" t="n"/>
    </row>
    <row r="873">
      <c r="H873" s="128" t="n"/>
      <c r="L873" s="133" t="n"/>
      <c r="O873" s="128" t="n"/>
      <c r="V873" s="133" t="n"/>
      <c r="W873" s="133" t="n"/>
    </row>
    <row r="874">
      <c r="H874" s="128" t="n"/>
      <c r="L874" s="133" t="n"/>
      <c r="O874" s="128" t="n"/>
      <c r="V874" s="133" t="n"/>
      <c r="W874" s="133" t="n"/>
    </row>
    <row r="875">
      <c r="H875" s="128" t="n"/>
      <c r="L875" s="133" t="n"/>
      <c r="O875" s="128" t="n"/>
      <c r="V875" s="133" t="n"/>
      <c r="W875" s="133" t="n"/>
    </row>
    <row r="876">
      <c r="H876" s="128" t="n"/>
      <c r="L876" s="133" t="n"/>
      <c r="O876" s="128" t="n"/>
      <c r="V876" s="133" t="n"/>
      <c r="W876" s="133" t="n"/>
    </row>
    <row r="877">
      <c r="H877" s="128" t="n"/>
      <c r="L877" s="133" t="n"/>
      <c r="O877" s="128" t="n"/>
      <c r="V877" s="133" t="n"/>
      <c r="W877" s="133" t="n"/>
    </row>
    <row r="878">
      <c r="H878" s="128" t="n"/>
      <c r="L878" s="133" t="n"/>
      <c r="O878" s="128" t="n"/>
      <c r="V878" s="133" t="n"/>
      <c r="W878" s="133" t="n"/>
    </row>
    <row r="879">
      <c r="H879" s="128" t="n"/>
      <c r="L879" s="133" t="n"/>
      <c r="O879" s="128" t="n"/>
      <c r="V879" s="133" t="n"/>
      <c r="W879" s="133" t="n"/>
    </row>
    <row r="880">
      <c r="H880" s="128" t="n"/>
      <c r="L880" s="133" t="n"/>
      <c r="O880" s="128" t="n"/>
      <c r="V880" s="133" t="n"/>
      <c r="W880" s="133" t="n"/>
    </row>
    <row r="881">
      <c r="H881" s="128" t="n"/>
      <c r="L881" s="133" t="n"/>
      <c r="O881" s="128" t="n"/>
      <c r="V881" s="133" t="n"/>
      <c r="W881" s="133" t="n"/>
    </row>
    <row r="882">
      <c r="H882" s="128" t="n"/>
      <c r="L882" s="133" t="n"/>
      <c r="O882" s="128" t="n"/>
      <c r="V882" s="133" t="n"/>
      <c r="W882" s="133" t="n"/>
    </row>
    <row r="883">
      <c r="H883" s="128" t="n"/>
      <c r="L883" s="133" t="n"/>
      <c r="O883" s="128" t="n"/>
      <c r="V883" s="133" t="n"/>
      <c r="W883" s="133" t="n"/>
    </row>
    <row r="884">
      <c r="H884" s="128" t="n"/>
      <c r="L884" s="133" t="n"/>
      <c r="O884" s="128" t="n"/>
      <c r="V884" s="133" t="n"/>
      <c r="W884" s="133" t="n"/>
    </row>
    <row r="885">
      <c r="H885" s="128" t="n"/>
      <c r="L885" s="133" t="n"/>
      <c r="O885" s="128" t="n"/>
      <c r="V885" s="133" t="n"/>
      <c r="W885" s="133" t="n"/>
    </row>
    <row r="886">
      <c r="H886" s="128" t="n"/>
      <c r="L886" s="133" t="n"/>
      <c r="O886" s="128" t="n"/>
      <c r="V886" s="133" t="n"/>
      <c r="W886" s="133" t="n"/>
    </row>
    <row r="887">
      <c r="H887" s="128" t="n"/>
      <c r="L887" s="133" t="n"/>
      <c r="O887" s="128" t="n"/>
      <c r="V887" s="133" t="n"/>
      <c r="W887" s="133" t="n"/>
    </row>
    <row r="888">
      <c r="H888" s="128" t="n"/>
      <c r="L888" s="133" t="n"/>
      <c r="O888" s="128" t="n"/>
      <c r="V888" s="133" t="n"/>
      <c r="W888" s="133" t="n"/>
    </row>
    <row r="889">
      <c r="H889" s="128" t="n"/>
      <c r="L889" s="133" t="n"/>
      <c r="O889" s="128" t="n"/>
      <c r="V889" s="133" t="n"/>
      <c r="W889" s="133" t="n"/>
    </row>
    <row r="890">
      <c r="H890" s="128" t="n"/>
      <c r="L890" s="133" t="n"/>
      <c r="O890" s="128" t="n"/>
      <c r="V890" s="133" t="n"/>
      <c r="W890" s="133" t="n"/>
    </row>
    <row r="891">
      <c r="H891" s="128" t="n"/>
      <c r="L891" s="133" t="n"/>
      <c r="O891" s="128" t="n"/>
      <c r="V891" s="133" t="n"/>
      <c r="W891" s="133" t="n"/>
    </row>
    <row r="892">
      <c r="H892" s="128" t="n"/>
      <c r="L892" s="133" t="n"/>
      <c r="O892" s="128" t="n"/>
      <c r="V892" s="133" t="n"/>
      <c r="W892" s="133" t="n"/>
    </row>
    <row r="893">
      <c r="H893" s="128" t="n"/>
      <c r="L893" s="133" t="n"/>
      <c r="O893" s="128" t="n"/>
      <c r="V893" s="133" t="n"/>
      <c r="W893" s="133" t="n"/>
    </row>
    <row r="894">
      <c r="H894" s="128" t="n"/>
      <c r="L894" s="133" t="n"/>
      <c r="O894" s="128" t="n"/>
      <c r="V894" s="133" t="n"/>
      <c r="W894" s="133" t="n"/>
    </row>
    <row r="895">
      <c r="H895" s="128" t="n"/>
      <c r="L895" s="133" t="n"/>
      <c r="O895" s="128" t="n"/>
      <c r="V895" s="133" t="n"/>
      <c r="W895" s="133" t="n"/>
    </row>
    <row r="896">
      <c r="H896" s="128" t="n"/>
      <c r="L896" s="133" t="n"/>
      <c r="O896" s="128" t="n"/>
      <c r="V896" s="133" t="n"/>
      <c r="W896" s="133" t="n"/>
    </row>
    <row r="897">
      <c r="H897" s="128" t="n"/>
      <c r="L897" s="133" t="n"/>
      <c r="O897" s="128" t="n"/>
      <c r="V897" s="133" t="n"/>
      <c r="W897" s="133" t="n"/>
    </row>
    <row r="898">
      <c r="H898" s="128" t="n"/>
      <c r="L898" s="133" t="n"/>
      <c r="O898" s="128" t="n"/>
      <c r="V898" s="133" t="n"/>
      <c r="W898" s="133" t="n"/>
    </row>
    <row r="899">
      <c r="H899" s="128" t="n"/>
      <c r="L899" s="133" t="n"/>
      <c r="O899" s="128" t="n"/>
      <c r="V899" s="133" t="n"/>
      <c r="W899" s="133" t="n"/>
    </row>
    <row r="900">
      <c r="H900" s="128" t="n"/>
      <c r="L900" s="133" t="n"/>
      <c r="O900" s="128" t="n"/>
      <c r="V900" s="133" t="n"/>
      <c r="W900" s="133" t="n"/>
    </row>
    <row r="901">
      <c r="H901" s="128" t="n"/>
      <c r="L901" s="133" t="n"/>
      <c r="O901" s="128" t="n"/>
      <c r="V901" s="133" t="n"/>
      <c r="W901" s="133" t="n"/>
    </row>
    <row r="902">
      <c r="H902" s="128" t="n"/>
      <c r="L902" s="133" t="n"/>
      <c r="O902" s="128" t="n"/>
      <c r="V902" s="133" t="n"/>
      <c r="W902" s="133" t="n"/>
    </row>
    <row r="903">
      <c r="H903" s="128" t="n"/>
      <c r="L903" s="133" t="n"/>
      <c r="O903" s="128" t="n"/>
      <c r="V903" s="133" t="n"/>
      <c r="W903" s="133" t="n"/>
    </row>
    <row r="904">
      <c r="H904" s="128" t="n"/>
      <c r="L904" s="133" t="n"/>
      <c r="O904" s="128" t="n"/>
      <c r="V904" s="133" t="n"/>
      <c r="W904" s="133" t="n"/>
    </row>
    <row r="905">
      <c r="H905" s="128" t="n"/>
      <c r="L905" s="133" t="n"/>
      <c r="O905" s="128" t="n"/>
      <c r="V905" s="133" t="n"/>
      <c r="W905" s="133" t="n"/>
    </row>
    <row r="906">
      <c r="H906" s="128" t="n"/>
      <c r="L906" s="133" t="n"/>
      <c r="O906" s="128" t="n"/>
      <c r="V906" s="133" t="n"/>
      <c r="W906" s="133" t="n"/>
    </row>
    <row r="907">
      <c r="H907" s="128" t="n"/>
      <c r="L907" s="133" t="n"/>
      <c r="O907" s="128" t="n"/>
      <c r="V907" s="133" t="n"/>
      <c r="W907" s="133" t="n"/>
    </row>
    <row r="908">
      <c r="H908" s="128" t="n"/>
      <c r="L908" s="133" t="n"/>
      <c r="O908" s="128" t="n"/>
      <c r="V908" s="133" t="n"/>
      <c r="W908" s="133" t="n"/>
    </row>
    <row r="909">
      <c r="H909" s="128" t="n"/>
      <c r="L909" s="133" t="n"/>
      <c r="O909" s="128" t="n"/>
      <c r="V909" s="133" t="n"/>
      <c r="W909" s="133" t="n"/>
    </row>
    <row r="910">
      <c r="H910" s="128" t="n"/>
      <c r="L910" s="133" t="n"/>
      <c r="O910" s="128" t="n"/>
      <c r="V910" s="133" t="n"/>
      <c r="W910" s="133" t="n"/>
    </row>
    <row r="911">
      <c r="H911" s="128" t="n"/>
      <c r="L911" s="133" t="n"/>
      <c r="O911" s="128" t="n"/>
      <c r="V911" s="133" t="n"/>
      <c r="W911" s="133" t="n"/>
    </row>
    <row r="912">
      <c r="H912" s="128" t="n"/>
      <c r="L912" s="133" t="n"/>
      <c r="O912" s="128" t="n"/>
      <c r="V912" s="133" t="n"/>
      <c r="W912" s="133" t="n"/>
    </row>
    <row r="913">
      <c r="H913" s="128" t="n"/>
      <c r="L913" s="133" t="n"/>
      <c r="O913" s="128" t="n"/>
      <c r="V913" s="133" t="n"/>
      <c r="W913" s="133" t="n"/>
    </row>
    <row r="914">
      <c r="H914" s="128" t="n"/>
      <c r="L914" s="133" t="n"/>
      <c r="O914" s="128" t="n"/>
      <c r="V914" s="133" t="n"/>
      <c r="W914" s="133" t="n"/>
    </row>
    <row r="915">
      <c r="H915" s="128" t="n"/>
      <c r="L915" s="133" t="n"/>
      <c r="O915" s="128" t="n"/>
      <c r="V915" s="133" t="n"/>
      <c r="W915" s="133" t="n"/>
    </row>
    <row r="916">
      <c r="H916" s="128" t="n"/>
      <c r="L916" s="133" t="n"/>
      <c r="O916" s="128" t="n"/>
      <c r="V916" s="133" t="n"/>
      <c r="W916" s="133" t="n"/>
    </row>
    <row r="917">
      <c r="H917" s="128" t="n"/>
      <c r="L917" s="133" t="n"/>
      <c r="O917" s="128" t="n"/>
      <c r="V917" s="133" t="n"/>
      <c r="W917" s="133" t="n"/>
    </row>
    <row r="918">
      <c r="H918" s="128" t="n"/>
      <c r="L918" s="133" t="n"/>
      <c r="O918" s="128" t="n"/>
      <c r="V918" s="133" t="n"/>
      <c r="W918" s="133" t="n"/>
    </row>
    <row r="919">
      <c r="H919" s="128" t="n"/>
      <c r="L919" s="133" t="n"/>
      <c r="O919" s="128" t="n"/>
      <c r="V919" s="133" t="n"/>
      <c r="W919" s="133" t="n"/>
    </row>
    <row r="920">
      <c r="H920" s="128" t="n"/>
      <c r="L920" s="133" t="n"/>
      <c r="O920" s="128" t="n"/>
      <c r="V920" s="133" t="n"/>
      <c r="W920" s="133" t="n"/>
    </row>
    <row r="921">
      <c r="H921" s="128" t="n"/>
      <c r="L921" s="133" t="n"/>
      <c r="O921" s="128" t="n"/>
      <c r="V921" s="133" t="n"/>
      <c r="W921" s="133" t="n"/>
    </row>
    <row r="922">
      <c r="H922" s="128" t="n"/>
      <c r="L922" s="133" t="n"/>
      <c r="O922" s="128" t="n"/>
      <c r="V922" s="133" t="n"/>
      <c r="W922" s="133" t="n"/>
    </row>
    <row r="923">
      <c r="H923" s="128" t="n"/>
      <c r="L923" s="133" t="n"/>
      <c r="O923" s="128" t="n"/>
      <c r="V923" s="133" t="n"/>
      <c r="W923" s="133" t="n"/>
    </row>
    <row r="924">
      <c r="H924" s="128" t="n"/>
      <c r="L924" s="133" t="n"/>
      <c r="O924" s="128" t="n"/>
      <c r="V924" s="133" t="n"/>
      <c r="W924" s="133" t="n"/>
    </row>
    <row r="925">
      <c r="H925" s="128" t="n"/>
      <c r="L925" s="133" t="n"/>
      <c r="O925" s="128" t="n"/>
      <c r="V925" s="133" t="n"/>
      <c r="W925" s="133" t="n"/>
    </row>
    <row r="926">
      <c r="H926" s="128" t="n"/>
      <c r="L926" s="133" t="n"/>
      <c r="O926" s="128" t="n"/>
      <c r="V926" s="133" t="n"/>
      <c r="W926" s="133" t="n"/>
    </row>
    <row r="927">
      <c r="H927" s="128" t="n"/>
      <c r="L927" s="133" t="n"/>
      <c r="O927" s="128" t="n"/>
      <c r="V927" s="133" t="n"/>
      <c r="W927" s="133" t="n"/>
    </row>
    <row r="928">
      <c r="H928" s="128" t="n"/>
      <c r="L928" s="133" t="n"/>
      <c r="O928" s="128" t="n"/>
      <c r="V928" s="133" t="n"/>
      <c r="W928" s="133" t="n"/>
    </row>
    <row r="929">
      <c r="H929" s="128" t="n"/>
      <c r="L929" s="133" t="n"/>
      <c r="O929" s="128" t="n"/>
      <c r="V929" s="133" t="n"/>
      <c r="W929" s="133" t="n"/>
    </row>
    <row r="930">
      <c r="H930" s="128" t="n"/>
      <c r="L930" s="133" t="n"/>
      <c r="O930" s="128" t="n"/>
      <c r="V930" s="133" t="n"/>
      <c r="W930" s="133" t="n"/>
    </row>
    <row r="931">
      <c r="H931" s="128" t="n"/>
      <c r="L931" s="133" t="n"/>
      <c r="O931" s="128" t="n"/>
      <c r="V931" s="133" t="n"/>
      <c r="W931" s="133" t="n"/>
    </row>
    <row r="932">
      <c r="H932" s="128" t="n"/>
      <c r="L932" s="133" t="n"/>
      <c r="O932" s="128" t="n"/>
      <c r="V932" s="133" t="n"/>
      <c r="W932" s="133" t="n"/>
    </row>
    <row r="933">
      <c r="H933" s="128" t="n"/>
      <c r="L933" s="133" t="n"/>
      <c r="O933" s="128" t="n"/>
      <c r="V933" s="133" t="n"/>
      <c r="W933" s="133" t="n"/>
    </row>
    <row r="934">
      <c r="H934" s="128" t="n"/>
      <c r="L934" s="133" t="n"/>
      <c r="O934" s="128" t="n"/>
      <c r="V934" s="133" t="n"/>
      <c r="W934" s="133" t="n"/>
    </row>
    <row r="935">
      <c r="H935" s="128" t="n"/>
      <c r="L935" s="133" t="n"/>
      <c r="O935" s="128" t="n"/>
      <c r="V935" s="133" t="n"/>
      <c r="W935" s="133" t="n"/>
    </row>
    <row r="936">
      <c r="H936" s="128" t="n"/>
      <c r="L936" s="133" t="n"/>
      <c r="O936" s="128" t="n"/>
      <c r="V936" s="133" t="n"/>
      <c r="W936" s="133" t="n"/>
    </row>
    <row r="937">
      <c r="H937" s="128" t="n"/>
      <c r="L937" s="133" t="n"/>
      <c r="O937" s="128" t="n"/>
      <c r="V937" s="133" t="n"/>
      <c r="W937" s="133" t="n"/>
    </row>
    <row r="938">
      <c r="H938" s="128" t="n"/>
      <c r="L938" s="133" t="n"/>
      <c r="O938" s="128" t="n"/>
      <c r="V938" s="133" t="n"/>
      <c r="W938" s="133" t="n"/>
    </row>
    <row r="939">
      <c r="H939" s="128" t="n"/>
      <c r="L939" s="133" t="n"/>
      <c r="O939" s="128" t="n"/>
      <c r="V939" s="133" t="n"/>
      <c r="W939" s="133" t="n"/>
    </row>
    <row r="940">
      <c r="H940" s="128" t="n"/>
      <c r="L940" s="133" t="n"/>
      <c r="O940" s="128" t="n"/>
      <c r="V940" s="133" t="n"/>
      <c r="W940" s="133" t="n"/>
    </row>
    <row r="941">
      <c r="H941" s="128" t="n"/>
      <c r="L941" s="133" t="n"/>
      <c r="O941" s="128" t="n"/>
      <c r="V941" s="133" t="n"/>
      <c r="W941" s="133" t="n"/>
    </row>
    <row r="942">
      <c r="H942" s="128" t="n"/>
      <c r="L942" s="133" t="n"/>
      <c r="O942" s="128" t="n"/>
      <c r="V942" s="133" t="n"/>
      <c r="W942" s="133" t="n"/>
    </row>
    <row r="943">
      <c r="H943" s="128" t="n"/>
      <c r="L943" s="133" t="n"/>
      <c r="O943" s="128" t="n"/>
      <c r="V943" s="133" t="n"/>
      <c r="W943" s="133" t="n"/>
    </row>
    <row r="944">
      <c r="H944" s="128" t="n"/>
      <c r="L944" s="133" t="n"/>
      <c r="O944" s="128" t="n"/>
      <c r="V944" s="133" t="n"/>
      <c r="W944" s="133" t="n"/>
    </row>
    <row r="945">
      <c r="H945" s="128" t="n"/>
      <c r="L945" s="133" t="n"/>
      <c r="O945" s="128" t="n"/>
      <c r="V945" s="133" t="n"/>
      <c r="W945" s="133" t="n"/>
    </row>
    <row r="946">
      <c r="H946" s="128" t="n"/>
      <c r="L946" s="133" t="n"/>
      <c r="O946" s="128" t="n"/>
      <c r="V946" s="133" t="n"/>
      <c r="W946" s="133" t="n"/>
    </row>
    <row r="947">
      <c r="H947" s="128" t="n"/>
      <c r="L947" s="133" t="n"/>
      <c r="O947" s="128" t="n"/>
      <c r="V947" s="133" t="n"/>
      <c r="W947" s="133" t="n"/>
    </row>
    <row r="948">
      <c r="H948" s="128" t="n"/>
      <c r="L948" s="133" t="n"/>
      <c r="O948" s="128" t="n"/>
      <c r="V948" s="133" t="n"/>
      <c r="W948" s="133" t="n"/>
    </row>
    <row r="949">
      <c r="H949" s="128" t="n"/>
      <c r="L949" s="133" t="n"/>
      <c r="O949" s="128" t="n"/>
      <c r="V949" s="133" t="n"/>
      <c r="W949" s="133" t="n"/>
    </row>
    <row r="950">
      <c r="H950" s="128" t="n"/>
      <c r="L950" s="133" t="n"/>
      <c r="O950" s="128" t="n"/>
      <c r="V950" s="133" t="n"/>
      <c r="W950" s="133" t="n"/>
    </row>
    <row r="951">
      <c r="H951" s="128" t="n"/>
      <c r="L951" s="133" t="n"/>
      <c r="O951" s="128" t="n"/>
      <c r="V951" s="133" t="n"/>
      <c r="W951" s="133" t="n"/>
    </row>
    <row r="952">
      <c r="H952" s="128" t="n"/>
      <c r="L952" s="133" t="n"/>
      <c r="O952" s="128" t="n"/>
      <c r="V952" s="133" t="n"/>
      <c r="W952" s="133" t="n"/>
    </row>
    <row r="953">
      <c r="H953" s="128" t="n"/>
      <c r="L953" s="133" t="n"/>
      <c r="O953" s="128" t="n"/>
      <c r="V953" s="133" t="n"/>
      <c r="W953" s="133" t="n"/>
    </row>
    <row r="954">
      <c r="H954" s="128" t="n"/>
      <c r="L954" s="133" t="n"/>
      <c r="O954" s="128" t="n"/>
      <c r="V954" s="133" t="n"/>
      <c r="W954" s="133" t="n"/>
    </row>
    <row r="955">
      <c r="H955" s="128" t="n"/>
      <c r="L955" s="133" t="n"/>
      <c r="O955" s="128" t="n"/>
      <c r="V955" s="133" t="n"/>
      <c r="W955" s="133" t="n"/>
    </row>
    <row r="956">
      <c r="H956" s="128" t="n"/>
      <c r="L956" s="133" t="n"/>
      <c r="O956" s="128" t="n"/>
      <c r="V956" s="133" t="n"/>
      <c r="W956" s="133" t="n"/>
    </row>
    <row r="957">
      <c r="H957" s="128" t="n"/>
      <c r="L957" s="133" t="n"/>
      <c r="O957" s="128" t="n"/>
      <c r="V957" s="133" t="n"/>
      <c r="W957" s="133" t="n"/>
    </row>
    <row r="958">
      <c r="H958" s="128" t="n"/>
      <c r="L958" s="133" t="n"/>
      <c r="O958" s="128" t="n"/>
      <c r="V958" s="133" t="n"/>
      <c r="W958" s="133" t="n"/>
    </row>
    <row r="959">
      <c r="H959" s="128" t="n"/>
      <c r="L959" s="133" t="n"/>
      <c r="O959" s="128" t="n"/>
      <c r="V959" s="133" t="n"/>
      <c r="W959" s="133" t="n"/>
    </row>
    <row r="960">
      <c r="H960" s="128" t="n"/>
      <c r="L960" s="133" t="n"/>
      <c r="O960" s="128" t="n"/>
      <c r="V960" s="133" t="n"/>
      <c r="W960" s="133" t="n"/>
    </row>
    <row r="961">
      <c r="H961" s="128" t="n"/>
      <c r="L961" s="133" t="n"/>
      <c r="O961" s="128" t="n"/>
      <c r="V961" s="133" t="n"/>
      <c r="W961" s="133" t="n"/>
    </row>
    <row r="962">
      <c r="H962" s="128" t="n"/>
      <c r="L962" s="133" t="n"/>
      <c r="O962" s="128" t="n"/>
      <c r="V962" s="133" t="n"/>
      <c r="W962" s="133" t="n"/>
    </row>
    <row r="963">
      <c r="H963" s="128" t="n"/>
      <c r="L963" s="133" t="n"/>
      <c r="O963" s="128" t="n"/>
      <c r="V963" s="133" t="n"/>
      <c r="W963" s="133" t="n"/>
    </row>
    <row r="964">
      <c r="H964" s="128" t="n"/>
      <c r="L964" s="133" t="n"/>
      <c r="O964" s="128" t="n"/>
      <c r="V964" s="133" t="n"/>
      <c r="W964" s="133" t="n"/>
    </row>
    <row r="965">
      <c r="H965" s="128" t="n"/>
      <c r="L965" s="133" t="n"/>
      <c r="O965" s="128" t="n"/>
      <c r="V965" s="133" t="n"/>
      <c r="W965" s="133" t="n"/>
    </row>
    <row r="966">
      <c r="H966" s="128" t="n"/>
      <c r="L966" s="133" t="n"/>
      <c r="O966" s="128" t="n"/>
      <c r="V966" s="133" t="n"/>
      <c r="W966" s="133" t="n"/>
    </row>
    <row r="967">
      <c r="H967" s="128" t="n"/>
      <c r="L967" s="133" t="n"/>
      <c r="O967" s="128" t="n"/>
      <c r="V967" s="133" t="n"/>
      <c r="W967" s="133" t="n"/>
    </row>
    <row r="968">
      <c r="H968" s="128" t="n"/>
      <c r="L968" s="133" t="n"/>
      <c r="O968" s="128" t="n"/>
      <c r="V968" s="133" t="n"/>
      <c r="W968" s="133" t="n"/>
    </row>
    <row r="969">
      <c r="H969" s="128" t="n"/>
      <c r="L969" s="133" t="n"/>
      <c r="O969" s="128" t="n"/>
      <c r="V969" s="133" t="n"/>
      <c r="W969" s="133" t="n"/>
    </row>
    <row r="970">
      <c r="H970" s="128" t="n"/>
      <c r="L970" s="133" t="n"/>
      <c r="O970" s="128" t="n"/>
      <c r="V970" s="133" t="n"/>
      <c r="W970" s="133" t="n"/>
    </row>
    <row r="971">
      <c r="H971" s="128" t="n"/>
      <c r="L971" s="133" t="n"/>
      <c r="O971" s="128" t="n"/>
      <c r="V971" s="133" t="n"/>
      <c r="W971" s="133" t="n"/>
    </row>
    <row r="972">
      <c r="H972" s="128" t="n"/>
      <c r="L972" s="133" t="n"/>
      <c r="O972" s="128" t="n"/>
      <c r="V972" s="133" t="n"/>
      <c r="W972" s="133" t="n"/>
    </row>
    <row r="973">
      <c r="H973" s="128" t="n"/>
      <c r="L973" s="133" t="n"/>
      <c r="O973" s="128" t="n"/>
      <c r="V973" s="133" t="n"/>
      <c r="W973" s="133" t="n"/>
    </row>
    <row r="974">
      <c r="H974" s="128" t="n"/>
      <c r="L974" s="133" t="n"/>
      <c r="O974" s="128" t="n"/>
      <c r="V974" s="133" t="n"/>
      <c r="W974" s="133" t="n"/>
    </row>
    <row r="975">
      <c r="H975" s="128" t="n"/>
      <c r="L975" s="133" t="n"/>
      <c r="O975" s="128" t="n"/>
      <c r="V975" s="133" t="n"/>
      <c r="W975" s="133" t="n"/>
    </row>
    <row r="976">
      <c r="H976" s="128" t="n"/>
      <c r="L976" s="133" t="n"/>
      <c r="O976" s="128" t="n"/>
      <c r="V976" s="133" t="n"/>
      <c r="W976" s="133" t="n"/>
    </row>
    <row r="977">
      <c r="H977" s="128" t="n"/>
      <c r="L977" s="133" t="n"/>
      <c r="O977" s="128" t="n"/>
      <c r="V977" s="133" t="n"/>
      <c r="W977" s="133" t="n"/>
    </row>
    <row r="978">
      <c r="H978" s="128" t="n"/>
      <c r="L978" s="133" t="n"/>
      <c r="O978" s="128" t="n"/>
      <c r="V978" s="133" t="n"/>
      <c r="W978" s="133" t="n"/>
    </row>
    <row r="979">
      <c r="H979" s="128" t="n"/>
      <c r="L979" s="133" t="n"/>
      <c r="O979" s="128" t="n"/>
      <c r="V979" s="133" t="n"/>
      <c r="W979" s="133" t="n"/>
    </row>
    <row r="980">
      <c r="H980" s="128" t="n"/>
      <c r="L980" s="133" t="n"/>
      <c r="O980" s="128" t="n"/>
      <c r="V980" s="133" t="n"/>
      <c r="W980" s="133" t="n"/>
    </row>
    <row r="981">
      <c r="H981" s="128" t="n"/>
      <c r="L981" s="133" t="n"/>
      <c r="O981" s="128" t="n"/>
      <c r="V981" s="133" t="n"/>
      <c r="W981" s="133" t="n"/>
    </row>
    <row r="982">
      <c r="H982" s="128" t="n"/>
      <c r="L982" s="133" t="n"/>
      <c r="O982" s="128" t="n"/>
      <c r="V982" s="133" t="n"/>
      <c r="W982" s="133" t="n"/>
    </row>
    <row r="983">
      <c r="H983" s="128" t="n"/>
      <c r="L983" s="133" t="n"/>
      <c r="O983" s="128" t="n"/>
      <c r="V983" s="133" t="n"/>
      <c r="W983" s="133" t="n"/>
    </row>
    <row r="984">
      <c r="H984" s="128" t="n"/>
      <c r="L984" s="133" t="n"/>
      <c r="O984" s="128" t="n"/>
      <c r="V984" s="133" t="n"/>
      <c r="W984" s="133" t="n"/>
    </row>
    <row r="985">
      <c r="H985" s="128" t="n"/>
      <c r="L985" s="133" t="n"/>
      <c r="O985" s="128" t="n"/>
      <c r="V985" s="133" t="n"/>
      <c r="W985" s="133" t="n"/>
    </row>
    <row r="986">
      <c r="H986" s="128" t="n"/>
      <c r="L986" s="133" t="n"/>
      <c r="O986" s="128" t="n"/>
      <c r="V986" s="133" t="n"/>
      <c r="W986" s="133" t="n"/>
    </row>
    <row r="987">
      <c r="H987" s="128" t="n"/>
      <c r="L987" s="133" t="n"/>
      <c r="O987" s="128" t="n"/>
      <c r="V987" s="133" t="n"/>
      <c r="W987" s="133" t="n"/>
    </row>
    <row r="988">
      <c r="H988" s="128" t="n"/>
      <c r="L988" s="133" t="n"/>
      <c r="O988" s="128" t="n"/>
      <c r="V988" s="133" t="n"/>
      <c r="W988" s="133" t="n"/>
    </row>
    <row r="989">
      <c r="H989" s="128" t="n"/>
      <c r="L989" s="133" t="n"/>
      <c r="O989" s="128" t="n"/>
      <c r="V989" s="133" t="n"/>
      <c r="W989" s="133" t="n"/>
    </row>
    <row r="990">
      <c r="H990" s="128" t="n"/>
      <c r="L990" s="133" t="n"/>
      <c r="O990" s="128" t="n"/>
      <c r="V990" s="133" t="n"/>
      <c r="W990" s="133" t="n"/>
    </row>
    <row r="991">
      <c r="H991" s="128" t="n"/>
      <c r="L991" s="133" t="n"/>
      <c r="O991" s="128" t="n"/>
      <c r="V991" s="133" t="n"/>
      <c r="W991" s="133" t="n"/>
    </row>
    <row r="992">
      <c r="H992" s="128" t="n"/>
      <c r="L992" s="133" t="n"/>
      <c r="O992" s="128" t="n"/>
      <c r="V992" s="133" t="n"/>
      <c r="W992" s="133" t="n"/>
    </row>
    <row r="993">
      <c r="H993" s="128" t="n"/>
      <c r="L993" s="133" t="n"/>
      <c r="O993" s="128" t="n"/>
      <c r="V993" s="133" t="n"/>
      <c r="W993" s="133" t="n"/>
    </row>
    <row r="994">
      <c r="H994" s="128" t="n"/>
      <c r="L994" s="133" t="n"/>
      <c r="O994" s="128" t="n"/>
      <c r="V994" s="133" t="n"/>
      <c r="W994" s="133" t="n"/>
    </row>
    <row r="995">
      <c r="H995" s="128" t="n"/>
      <c r="L995" s="133" t="n"/>
      <c r="O995" s="128" t="n"/>
      <c r="V995" s="133" t="n"/>
      <c r="W995" s="133" t="n"/>
    </row>
    <row r="996">
      <c r="H996" s="128" t="n"/>
      <c r="L996" s="133" t="n"/>
      <c r="O996" s="128" t="n"/>
      <c r="V996" s="133" t="n"/>
      <c r="W996" s="133" t="n"/>
    </row>
    <row r="997">
      <c r="H997" s="128" t="n"/>
      <c r="L997" s="133" t="n"/>
      <c r="O997" s="128" t="n"/>
      <c r="V997" s="133" t="n"/>
      <c r="W997" s="133" t="n"/>
    </row>
    <row r="998">
      <c r="H998" s="128" t="n"/>
      <c r="L998" s="133" t="n"/>
      <c r="O998" s="128" t="n"/>
      <c r="V998" s="133" t="n"/>
      <c r="W998" s="133" t="n"/>
    </row>
    <row r="999">
      <c r="H999" s="128" t="n"/>
      <c r="L999" s="133" t="n"/>
      <c r="O999" s="128" t="n"/>
      <c r="V999" s="133" t="n"/>
      <c r="W999" s="133" t="n"/>
    </row>
    <row r="1000">
      <c r="H1000" s="128" t="n"/>
      <c r="L1000" s="133" t="n"/>
      <c r="O1000" s="128" t="n"/>
      <c r="V1000" s="133" t="n"/>
      <c r="W1000" s="133" t="n"/>
    </row>
    <row r="1001">
      <c r="H1001" s="128" t="n"/>
      <c r="L1001" s="133" t="n"/>
      <c r="O1001" s="128" t="n"/>
      <c r="V1001" s="133" t="n"/>
      <c r="W1001" s="133"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4"/>
  <sheetViews>
    <sheetView workbookViewId="0">
      <selection activeCell="A1" sqref="A1"/>
    </sheetView>
  </sheetViews>
  <sheetFormatPr baseColWidth="8" defaultColWidth="12.63" defaultRowHeight="15.75" customHeight="1"/>
  <cols>
    <col width="28.38" customWidth="1" style="323" min="1" max="1"/>
    <col width="16.75" customWidth="1" style="323" min="2" max="2"/>
    <col width="16" customWidth="1" style="323" min="3" max="3"/>
    <col width="17" customWidth="1" style="323" min="4" max="4"/>
    <col width="15.13" customWidth="1" style="323" min="5" max="6"/>
    <col width="19.63" customWidth="1" style="323" min="7" max="7"/>
    <col width="18.63" customWidth="1" style="323" min="8" max="8"/>
    <col width="17.5" customWidth="1" style="323" min="9" max="10"/>
    <col width="19.63" customWidth="1" style="323" min="11" max="11"/>
    <col width="19" customWidth="1" style="323" min="12" max="12"/>
  </cols>
  <sheetData>
    <row r="1">
      <c r="A1" s="191" t="inlineStr">
        <is>
          <t>TTF Commitment</t>
        </is>
      </c>
      <c r="B1" s="313" t="inlineStr">
        <is>
          <t>Holdback % Gold</t>
        </is>
      </c>
      <c r="C1" s="313" t="inlineStr">
        <is>
          <t>Unlocks % Gold</t>
        </is>
      </c>
      <c r="D1" s="313" t="inlineStr">
        <is>
          <t>1st Year Release</t>
        </is>
      </c>
      <c r="E1" s="313" t="inlineStr">
        <is>
          <t>Release Years</t>
        </is>
      </c>
      <c r="F1" s="314" t="inlineStr">
        <is>
          <t>Yearly Release</t>
        </is>
      </c>
      <c r="G1" s="281" t="inlineStr">
        <is>
          <t>Lifetime Release (oz)</t>
        </is>
      </c>
      <c r="H1" s="282" t="inlineStr">
        <is>
          <t>1st Year Release (oz)</t>
        </is>
      </c>
      <c r="I1" s="283" t="inlineStr">
        <is>
          <t>Yearly Release (oz)</t>
        </is>
      </c>
      <c r="J1" s="281" t="inlineStr">
        <is>
          <t>Yearly Reg Fee (oz)</t>
        </is>
      </c>
      <c r="K1" s="282" t="inlineStr">
        <is>
          <t>Yearly Release Fee (oz)</t>
        </is>
      </c>
      <c r="L1" s="283" t="inlineStr">
        <is>
          <t>Total Yearly Fees (oz)</t>
        </is>
      </c>
    </row>
    <row r="2">
      <c r="A2" s="20" t="inlineStr">
        <is>
          <t>Mineral Estate</t>
        </is>
      </c>
      <c r="B2" s="22" t="n">
        <v>0.8</v>
      </c>
      <c r="C2" s="315" t="n">
        <v>0.2</v>
      </c>
      <c r="D2" s="316">
        <f>C2*0.2</f>
        <v/>
      </c>
      <c r="E2" s="24" t="n">
        <v>39</v>
      </c>
      <c r="F2" s="24" t="n"/>
    </row>
    <row r="3">
      <c r="A3" s="20" t="inlineStr">
        <is>
          <t>Mineral + Bio Estate</t>
        </is>
      </c>
      <c r="B3" s="22" t="n">
        <v>0.65</v>
      </c>
      <c r="C3" s="315" t="n">
        <v>0.35</v>
      </c>
      <c r="D3" s="316">
        <f>C3*0.2</f>
        <v/>
      </c>
      <c r="E3" s="24" t="n">
        <v>29</v>
      </c>
      <c r="F3" s="24" t="n"/>
    </row>
    <row r="4">
      <c r="A4" s="27" t="inlineStr">
        <is>
          <t>Mineral + Bio + Social Estate</t>
        </is>
      </c>
      <c r="B4" s="29" t="n">
        <v>0.5</v>
      </c>
      <c r="C4" s="317" t="n">
        <v>0.5</v>
      </c>
      <c r="D4" s="316">
        <f>C4*0.2</f>
        <v/>
      </c>
      <c r="E4" s="31" t="n">
        <v>19</v>
      </c>
      <c r="F4" s="24"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I4"/>
  <sheetViews>
    <sheetView workbookViewId="0">
      <selection activeCell="A1" sqref="A1"/>
    </sheetView>
  </sheetViews>
  <sheetFormatPr baseColWidth="8" defaultRowHeight="15"/>
  <sheetData>
    <row r="1">
      <c r="A1" t="inlineStr">
        <is>
          <t>XAU Configuration Timeline</t>
        </is>
      </c>
    </row>
    <row r="2">
      <c r="A2" t="inlineStr">
        <is>
          <t>Description</t>
        </is>
      </c>
      <c r="B2" t="inlineStr">
        <is>
          <t>60-month timeline: Dec '25 - Nov '30</t>
        </is>
      </c>
    </row>
    <row r="4">
      <c r="A4" t="inlineStr">
        <is>
          <t>Month Label</t>
        </is>
      </c>
      <c r="B4" t="inlineStr">
        <is>
          <t>Dec '25</t>
        </is>
      </c>
      <c r="C4" t="inlineStr">
        <is>
          <t>Jan '26</t>
        </is>
      </c>
      <c r="D4" t="inlineStr">
        <is>
          <t>Feb '26</t>
        </is>
      </c>
      <c r="E4" t="inlineStr">
        <is>
          <t>Mar '26</t>
        </is>
      </c>
      <c r="F4" t="inlineStr">
        <is>
          <t>Apr '26</t>
        </is>
      </c>
      <c r="G4" t="inlineStr">
        <is>
          <t>May '26</t>
        </is>
      </c>
      <c r="H4" t="inlineStr">
        <is>
          <t>Jun '26</t>
        </is>
      </c>
      <c r="I4" t="inlineStr">
        <is>
          <t>Jul '26</t>
        </is>
      </c>
      <c r="J4" t="inlineStr">
        <is>
          <t>Aug '26</t>
        </is>
      </c>
      <c r="K4" t="inlineStr">
        <is>
          <t>Sep '26</t>
        </is>
      </c>
      <c r="L4" t="inlineStr">
        <is>
          <t>Oct '26</t>
        </is>
      </c>
      <c r="M4" t="inlineStr">
        <is>
          <t>Nov '26</t>
        </is>
      </c>
      <c r="N4" t="inlineStr">
        <is>
          <t>Dec '26</t>
        </is>
      </c>
      <c r="O4" t="inlineStr">
        <is>
          <t>Jan '27</t>
        </is>
      </c>
      <c r="P4" t="inlineStr">
        <is>
          <t>Feb '27</t>
        </is>
      </c>
      <c r="Q4" t="inlineStr">
        <is>
          <t>Mar '27</t>
        </is>
      </c>
      <c r="R4" t="inlineStr">
        <is>
          <t>Apr '27</t>
        </is>
      </c>
      <c r="S4" t="inlineStr">
        <is>
          <t>May '27</t>
        </is>
      </c>
      <c r="T4" t="inlineStr">
        <is>
          <t>Jun '27</t>
        </is>
      </c>
      <c r="U4" t="inlineStr">
        <is>
          <t>Jul '27</t>
        </is>
      </c>
      <c r="V4" t="inlineStr">
        <is>
          <t>Aug '27</t>
        </is>
      </c>
      <c r="W4" t="inlineStr">
        <is>
          <t>Sep '27</t>
        </is>
      </c>
      <c r="X4" t="inlineStr">
        <is>
          <t>Oct '27</t>
        </is>
      </c>
      <c r="Y4" t="inlineStr">
        <is>
          <t>Nov '27</t>
        </is>
      </c>
      <c r="Z4" t="inlineStr">
        <is>
          <t>Dec '27</t>
        </is>
      </c>
      <c r="AA4" t="inlineStr">
        <is>
          <t>Jan '28</t>
        </is>
      </c>
      <c r="AB4" t="inlineStr">
        <is>
          <t>Feb '28</t>
        </is>
      </c>
      <c r="AC4" t="inlineStr">
        <is>
          <t>Mar '28</t>
        </is>
      </c>
      <c r="AD4" t="inlineStr">
        <is>
          <t>Apr '28</t>
        </is>
      </c>
      <c r="AE4" t="inlineStr">
        <is>
          <t>May '28</t>
        </is>
      </c>
      <c r="AF4" t="inlineStr">
        <is>
          <t>Jun '28</t>
        </is>
      </c>
      <c r="AG4" t="inlineStr">
        <is>
          <t>Jul '28</t>
        </is>
      </c>
      <c r="AH4" t="inlineStr">
        <is>
          <t>Aug '28</t>
        </is>
      </c>
      <c r="AI4" t="inlineStr">
        <is>
          <t>Sep '28</t>
        </is>
      </c>
      <c r="AJ4" t="inlineStr">
        <is>
          <t>Oct '28</t>
        </is>
      </c>
      <c r="AK4" t="inlineStr">
        <is>
          <t>Nov '28</t>
        </is>
      </c>
      <c r="AL4" t="inlineStr">
        <is>
          <t>Dec '28</t>
        </is>
      </c>
      <c r="AM4" t="inlineStr">
        <is>
          <t>Jan '29</t>
        </is>
      </c>
      <c r="AN4" t="inlineStr">
        <is>
          <t>Feb '29</t>
        </is>
      </c>
      <c r="AO4" t="inlineStr">
        <is>
          <t>Mar '29</t>
        </is>
      </c>
      <c r="AP4" t="inlineStr">
        <is>
          <t>Apr '29</t>
        </is>
      </c>
      <c r="AQ4" t="inlineStr">
        <is>
          <t>May '29</t>
        </is>
      </c>
      <c r="AR4" t="inlineStr">
        <is>
          <t>Jun '29</t>
        </is>
      </c>
      <c r="AS4" t="inlineStr">
        <is>
          <t>Jul '29</t>
        </is>
      </c>
      <c r="AT4" t="inlineStr">
        <is>
          <t>Aug '29</t>
        </is>
      </c>
      <c r="AU4" t="inlineStr">
        <is>
          <t>Sep '29</t>
        </is>
      </c>
      <c r="AV4" t="inlineStr">
        <is>
          <t>Oct '29</t>
        </is>
      </c>
      <c r="AW4" t="inlineStr">
        <is>
          <t>Nov '29</t>
        </is>
      </c>
      <c r="AX4" t="inlineStr">
        <is>
          <t>Dec '29</t>
        </is>
      </c>
      <c r="AY4" t="inlineStr">
        <is>
          <t>Jan '30</t>
        </is>
      </c>
      <c r="AZ4" t="inlineStr">
        <is>
          <t>Feb '30</t>
        </is>
      </c>
      <c r="BA4" t="inlineStr">
        <is>
          <t>Mar '30</t>
        </is>
      </c>
      <c r="BB4" t="inlineStr">
        <is>
          <t>Apr '30</t>
        </is>
      </c>
      <c r="BC4" t="inlineStr">
        <is>
          <t>May '30</t>
        </is>
      </c>
      <c r="BD4" t="inlineStr">
        <is>
          <t>Jun '30</t>
        </is>
      </c>
      <c r="BE4" t="inlineStr">
        <is>
          <t>Jul '30</t>
        </is>
      </c>
      <c r="BF4" t="inlineStr">
        <is>
          <t>Aug '30</t>
        </is>
      </c>
      <c r="BG4" t="inlineStr">
        <is>
          <t>Sep '30</t>
        </is>
      </c>
      <c r="BH4" t="inlineStr">
        <is>
          <t>Oct '30</t>
        </is>
      </c>
      <c r="BI4" t="inlineStr">
        <is>
          <t>Nov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2025-11-26T15:13:12Z</dcterms:created>
  <dcterms:modified xsi:type="dcterms:W3CDTF">2025-11-26T15:13:12Z</dcterms:modified>
</cp:coreProperties>
</file>