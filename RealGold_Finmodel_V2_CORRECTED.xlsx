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1">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s>
  <fonts count="24">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style="323" min="1" max="1"/>
  </cols>
  <sheetData>
    <row r="1">
      <c r="A1" s="324" t="inlineStr">
        <is>
          <t>RealGold Financial Model - Corrected</t>
        </is>
      </c>
    </row>
    <row r="3">
      <c r="A3" t="inlineStr">
        <is>
          <t>Version</t>
        </is>
      </c>
      <c r="B3" t="inlineStr">
        <is>
          <t>V2.4 - LibreOffice/Sheets Compatible</t>
        </is>
      </c>
    </row>
    <row r="4">
      <c r="A4" t="inlineStr">
        <is>
          <t>Updated</t>
        </is>
      </c>
      <c r="B4" t="inlineStr">
        <is>
          <t>2025-11-25 15:32</t>
        </is>
      </c>
    </row>
    <row r="6">
      <c r="A6" s="325" t="inlineStr">
        <is>
          <t>Corrections</t>
        </is>
      </c>
    </row>
    <row r="7">
      <c r="A7" t="inlineStr">
        <is>
          <t>Unitization Fee: 0.5% → 0.01%</t>
        </is>
      </c>
    </row>
    <row r="8">
      <c r="A8" t="inlineStr">
        <is>
          <t>Courbet: Sep → Dec '25</t>
        </is>
      </c>
    </row>
    <row r="9">
      <c r="A9" t="inlineStr">
        <is>
          <t>Mine 2: Nov '25 → Jan '26</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M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2">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t="inlineStr">
        <is>
          <t>Jan '25</t>
        </is>
      </c>
      <c r="C1" s="51" t="inlineStr">
        <is>
          <t>Feb '25</t>
        </is>
      </c>
      <c r="D1" s="51" t="inlineStr">
        <is>
          <t>Mar '25</t>
        </is>
      </c>
      <c r="E1" s="51" t="inlineStr">
        <is>
          <t>Apr '25</t>
        </is>
      </c>
      <c r="F1" s="51" t="inlineStr">
        <is>
          <t>May '25</t>
        </is>
      </c>
      <c r="G1" s="51" t="inlineStr">
        <is>
          <t>Jun '25</t>
        </is>
      </c>
      <c r="H1" s="51" t="inlineStr">
        <is>
          <t>Jul '25</t>
        </is>
      </c>
      <c r="I1" s="51" t="inlineStr">
        <is>
          <t>Aug '25</t>
        </is>
      </c>
      <c r="J1" s="51" t="inlineStr">
        <is>
          <t>Sep '25</t>
        </is>
      </c>
      <c r="K1" s="51" t="inlineStr">
        <is>
          <t>Oct '25</t>
        </is>
      </c>
      <c r="L1" s="51" t="inlineStr">
        <is>
          <t>Nov '25</t>
        </is>
      </c>
      <c r="M1" s="51" t="inlineStr">
        <is>
          <t>Dec '25</t>
        </is>
      </c>
      <c r="N1" s="51" t="inlineStr">
        <is>
          <t>Jan '26</t>
        </is>
      </c>
      <c r="O1" s="51" t="inlineStr">
        <is>
          <t>Feb '26</t>
        </is>
      </c>
      <c r="P1" s="51" t="inlineStr">
        <is>
          <t>Mar '26</t>
        </is>
      </c>
      <c r="Q1" s="51" t="inlineStr">
        <is>
          <t>Apr '26</t>
        </is>
      </c>
      <c r="R1" s="51" t="inlineStr">
        <is>
          <t>May '26</t>
        </is>
      </c>
      <c r="S1" s="51" t="inlineStr">
        <is>
          <t>Jun '26</t>
        </is>
      </c>
      <c r="T1" s="51" t="inlineStr">
        <is>
          <t>Jul '26</t>
        </is>
      </c>
      <c r="U1" s="51" t="inlineStr">
        <is>
          <t>Aug '26</t>
        </is>
      </c>
      <c r="V1" s="51" t="inlineStr">
        <is>
          <t>Sep '26</t>
        </is>
      </c>
      <c r="W1" s="51" t="inlineStr">
        <is>
          <t>Oct '26</t>
        </is>
      </c>
      <c r="X1" s="51" t="inlineStr">
        <is>
          <t>Nov '26</t>
        </is>
      </c>
      <c r="Y1" s="51" t="inlineStr">
        <is>
          <t>Dec '26</t>
        </is>
      </c>
      <c r="Z1" s="51" t="inlineStr">
        <is>
          <t>Jan '27</t>
        </is>
      </c>
      <c r="AA1" s="51" t="inlineStr">
        <is>
          <t>Feb '27</t>
        </is>
      </c>
      <c r="AB1" s="51" t="inlineStr">
        <is>
          <t>Mar '27</t>
        </is>
      </c>
      <c r="AC1" s="51" t="inlineStr">
        <is>
          <t>Apr '27</t>
        </is>
      </c>
      <c r="AD1" s="51" t="inlineStr">
        <is>
          <t>May '27</t>
        </is>
      </c>
      <c r="AE1" s="51" t="inlineStr">
        <is>
          <t>Jun '27</t>
        </is>
      </c>
      <c r="AF1" s="51" t="inlineStr">
        <is>
          <t>Jul '27</t>
        </is>
      </c>
      <c r="AG1" s="51" t="inlineStr">
        <is>
          <t>Aug '27</t>
        </is>
      </c>
      <c r="AH1" s="51" t="inlineStr">
        <is>
          <t>Sep '27</t>
        </is>
      </c>
      <c r="AI1" s="51" t="inlineStr">
        <is>
          <t>Oct '27</t>
        </is>
      </c>
      <c r="AJ1" s="51" t="inlineStr">
        <is>
          <t>Nov '27</t>
        </is>
      </c>
      <c r="AK1" s="51" t="inlineStr">
        <is>
          <t>Dec '27</t>
        </is>
      </c>
      <c r="AL1" s="51" t="inlineStr">
        <is>
          <t>Jan '28</t>
        </is>
      </c>
      <c r="AM1" s="51" t="inlineStr">
        <is>
          <t>Feb '28</t>
        </is>
      </c>
      <c r="AN1" s="51" t="inlineStr">
        <is>
          <t>Mar '28</t>
        </is>
      </c>
      <c r="AO1" s="51" t="inlineStr">
        <is>
          <t>Apr '28</t>
        </is>
      </c>
      <c r="AP1" s="51" t="inlineStr">
        <is>
          <t>May '28</t>
        </is>
      </c>
      <c r="AQ1" s="51" t="inlineStr">
        <is>
          <t>Jun '28</t>
        </is>
      </c>
      <c r="AR1" s="51" t="inlineStr">
        <is>
          <t>Jul '28</t>
        </is>
      </c>
      <c r="AS1" s="51" t="inlineStr">
        <is>
          <t>Aug '28</t>
        </is>
      </c>
      <c r="AT1" s="51" t="inlineStr">
        <is>
          <t>Sep '28</t>
        </is>
      </c>
      <c r="AU1" s="51" t="inlineStr">
        <is>
          <t>Oct '28</t>
        </is>
      </c>
      <c r="AV1" s="51" t="inlineStr">
        <is>
          <t>Nov '28</t>
        </is>
      </c>
      <c r="AW1" s="51" t="inlineStr">
        <is>
          <t>Dec '28</t>
        </is>
      </c>
      <c r="AX1" s="51" t="inlineStr">
        <is>
          <t>Jan '29</t>
        </is>
      </c>
      <c r="AY1" s="51" t="inlineStr">
        <is>
          <t>Feb '29</t>
        </is>
      </c>
      <c r="AZ1" s="51" t="inlineStr">
        <is>
          <t>Mar '29</t>
        </is>
      </c>
      <c r="BA1" s="51" t="inlineStr">
        <is>
          <t>Apr '29</t>
        </is>
      </c>
      <c r="BB1" s="51" t="inlineStr">
        <is>
          <t>May '29</t>
        </is>
      </c>
      <c r="BC1" s="51" t="inlineStr">
        <is>
          <t>Jun '29</t>
        </is>
      </c>
      <c r="BD1" s="51" t="inlineStr">
        <is>
          <t>Jul '29</t>
        </is>
      </c>
      <c r="BE1" s="51" t="inlineStr">
        <is>
          <t>Aug '29</t>
        </is>
      </c>
      <c r="BF1" s="51" t="inlineStr">
        <is>
          <t>Sep '29</t>
        </is>
      </c>
      <c r="BG1" s="51" t="inlineStr">
        <is>
          <t>Oct '29</t>
        </is>
      </c>
      <c r="BH1" s="51" t="inlineStr">
        <is>
          <t>Nov '29</t>
        </is>
      </c>
      <c r="BI1" s="119" t="inlineStr">
        <is>
          <t>Dec '29</t>
        </is>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t="n">
        <v>0</v>
      </c>
      <c r="C3" s="123" t="n">
        <v>0</v>
      </c>
      <c r="D3" s="299" t="n">
        <v>0</v>
      </c>
      <c r="E3" s="242" t="n">
        <v>0</v>
      </c>
      <c r="F3" s="242" t="n">
        <v>0</v>
      </c>
      <c r="G3" s="124" t="n">
        <v>0</v>
      </c>
      <c r="H3" s="242" t="n">
        <v>0</v>
      </c>
      <c r="I3" s="242" t="n">
        <v>0</v>
      </c>
      <c r="J3" s="242" t="n">
        <v>1</v>
      </c>
      <c r="K3" s="242" t="n">
        <v>0</v>
      </c>
      <c r="L3" s="242" t="n">
        <v>1</v>
      </c>
      <c r="M3" s="242" t="n">
        <v>0</v>
      </c>
      <c r="N3" s="242" t="n">
        <v>1</v>
      </c>
      <c r="O3" s="242" t="n">
        <v>0</v>
      </c>
      <c r="P3" s="242" t="n">
        <v>0</v>
      </c>
      <c r="Q3" s="242" t="n">
        <v>1</v>
      </c>
      <c r="R3" s="242" t="n">
        <v>0</v>
      </c>
      <c r="S3" s="242" t="n">
        <v>0</v>
      </c>
      <c r="T3" s="242" t="n">
        <v>1</v>
      </c>
      <c r="U3" s="242" t="n">
        <v>0</v>
      </c>
      <c r="V3" s="242" t="n">
        <v>0</v>
      </c>
      <c r="W3" s="242" t="n">
        <v>0</v>
      </c>
      <c r="X3" s="242" t="n">
        <v>0</v>
      </c>
      <c r="Y3" s="242" t="n">
        <v>1</v>
      </c>
      <c r="Z3" s="242" t="n">
        <v>0</v>
      </c>
      <c r="AA3" s="242" t="n">
        <v>0</v>
      </c>
      <c r="AB3" s="242" t="n">
        <v>1</v>
      </c>
      <c r="AC3" s="242" t="n">
        <v>0</v>
      </c>
      <c r="AD3" s="242" t="n">
        <v>0</v>
      </c>
      <c r="AE3" s="242" t="n">
        <v>1</v>
      </c>
      <c r="AF3" s="242" t="n">
        <v>0</v>
      </c>
      <c r="AG3" s="242" t="n">
        <v>1</v>
      </c>
      <c r="AH3" s="242" t="n">
        <v>0</v>
      </c>
      <c r="AI3" s="242" t="n">
        <v>0</v>
      </c>
      <c r="AJ3" s="242" t="n">
        <v>0</v>
      </c>
      <c r="AK3" s="242" t="n">
        <v>0</v>
      </c>
      <c r="AL3" s="242" t="n">
        <v>0</v>
      </c>
      <c r="AM3" s="242" t="n">
        <v>1</v>
      </c>
      <c r="AN3" s="242" t="n">
        <v>0</v>
      </c>
      <c r="AO3" s="242" t="n">
        <v>0</v>
      </c>
      <c r="AP3" s="242" t="n">
        <v>1</v>
      </c>
      <c r="AQ3" s="242" t="n">
        <v>0</v>
      </c>
      <c r="AR3" s="242" t="n">
        <v>0</v>
      </c>
      <c r="AS3" s="242" t="n">
        <v>0</v>
      </c>
      <c r="AT3" s="242" t="n">
        <v>0</v>
      </c>
      <c r="AU3" s="242" t="n">
        <v>1</v>
      </c>
      <c r="AV3" s="242" t="n">
        <v>0</v>
      </c>
      <c r="AW3" s="242" t="n">
        <v>0</v>
      </c>
      <c r="AX3" s="242" t="n">
        <v>0</v>
      </c>
      <c r="AY3" s="242" t="n">
        <v>0</v>
      </c>
      <c r="AZ3" s="242" t="n">
        <v>0</v>
      </c>
      <c r="BA3" s="242" t="n">
        <v>0</v>
      </c>
      <c r="BB3" s="242" t="n">
        <v>0</v>
      </c>
      <c r="BC3" s="242" t="n">
        <v>0</v>
      </c>
      <c r="BD3" s="242" t="n">
        <v>0</v>
      </c>
      <c r="BE3" s="242" t="n">
        <v>0</v>
      </c>
      <c r="BF3" s="242" t="n">
        <v>0</v>
      </c>
      <c r="BG3" s="242" t="n">
        <v>0</v>
      </c>
      <c r="BH3" s="242" t="n">
        <v>0</v>
      </c>
      <c r="BI3" s="42" t="n">
        <v>0</v>
      </c>
    </row>
    <row r="4">
      <c r="A4" s="38" t="inlineStr">
        <is>
          <t>Registered Resources (oz)</t>
        </is>
      </c>
      <c r="B4" s="299" t="n">
        <v>0</v>
      </c>
      <c r="C4" s="123" t="n">
        <v>0</v>
      </c>
      <c r="D4" s="299" t="n">
        <v>0</v>
      </c>
      <c r="E4" s="242" t="n">
        <v>0</v>
      </c>
      <c r="F4" s="242" t="n">
        <v>0</v>
      </c>
      <c r="G4" s="124" t="n">
        <v>0</v>
      </c>
      <c r="H4" s="242" t="n">
        <v>0</v>
      </c>
      <c r="I4" s="242" t="n">
        <v>0</v>
      </c>
      <c r="J4" s="124">
        <f>'Mine Inventory'!F2</f>
        <v/>
      </c>
      <c r="K4" s="242" t="n">
        <v>0</v>
      </c>
      <c r="L4" s="124">
        <f>'Mine Inventory'!F3</f>
        <v/>
      </c>
      <c r="M4" s="242" t="n">
        <v>0</v>
      </c>
      <c r="N4" s="124">
        <f>'Mine Inventory'!F4</f>
        <v/>
      </c>
      <c r="O4" s="242" t="n">
        <v>0</v>
      </c>
      <c r="P4" s="242" t="n">
        <v>0</v>
      </c>
      <c r="Q4" s="124">
        <f>'Mine Inventory'!F5</f>
        <v/>
      </c>
      <c r="R4" s="242" t="n">
        <v>0</v>
      </c>
      <c r="S4" s="242" t="n">
        <v>0</v>
      </c>
      <c r="T4" s="124">
        <f>'Mine Inventory'!F6</f>
        <v/>
      </c>
      <c r="U4" s="242" t="n"/>
      <c r="V4" s="242" t="n"/>
      <c r="W4" s="242" t="n"/>
      <c r="X4" s="242" t="n"/>
      <c r="Y4" s="124">
        <f>'Mine Inventory'!F7</f>
        <v/>
      </c>
      <c r="Z4" s="242" t="n">
        <v>0</v>
      </c>
      <c r="AA4" s="242" t="n">
        <v>0</v>
      </c>
      <c r="AB4" s="124">
        <f>'Mine Inventory'!F8</f>
        <v/>
      </c>
      <c r="AC4" s="242" t="n">
        <v>0</v>
      </c>
      <c r="AD4" s="242" t="n">
        <v>0</v>
      </c>
      <c r="AE4" s="124">
        <f>'Mine Inventory'!F9</f>
        <v/>
      </c>
      <c r="AF4" s="242" t="n">
        <v>0</v>
      </c>
      <c r="AG4" s="124">
        <f>'Mine Inventory'!F10</f>
        <v/>
      </c>
      <c r="AH4" s="242" t="n">
        <v>0</v>
      </c>
      <c r="AI4" s="242" t="n">
        <v>0</v>
      </c>
      <c r="AJ4" s="242" t="n">
        <v>0</v>
      </c>
      <c r="AK4" s="242" t="n">
        <v>0</v>
      </c>
      <c r="AL4" s="242" t="n">
        <v>0</v>
      </c>
      <c r="AM4" s="124">
        <f>'Mine Inventory'!F11</f>
        <v/>
      </c>
      <c r="AN4" s="242" t="n">
        <v>0</v>
      </c>
      <c r="AO4" s="242" t="n">
        <v>0</v>
      </c>
      <c r="AP4" s="124">
        <f>'Mine Inventory'!F12</f>
        <v/>
      </c>
      <c r="AQ4" s="242" t="n">
        <v>0</v>
      </c>
      <c r="AR4" s="242" t="n">
        <v>0</v>
      </c>
      <c r="AS4" s="242" t="n">
        <v>0</v>
      </c>
      <c r="AT4" s="242" t="n">
        <v>0</v>
      </c>
      <c r="AU4" s="124">
        <f>'Mine Inventory'!F13</f>
        <v/>
      </c>
      <c r="AV4" s="242" t="n">
        <v>0</v>
      </c>
      <c r="AW4" s="242" t="n">
        <v>0</v>
      </c>
      <c r="AX4" s="242" t="n">
        <v>0</v>
      </c>
      <c r="AY4" s="242" t="n">
        <v>0</v>
      </c>
      <c r="AZ4" s="242" t="n">
        <v>0</v>
      </c>
      <c r="BA4" s="242" t="n">
        <v>0</v>
      </c>
      <c r="BB4" s="242" t="n">
        <v>0</v>
      </c>
      <c r="BC4" s="242" t="n">
        <v>0</v>
      </c>
      <c r="BD4" s="242" t="n">
        <v>0</v>
      </c>
      <c r="BE4" s="242" t="n">
        <v>0</v>
      </c>
      <c r="BF4" s="242" t="n">
        <v>0</v>
      </c>
      <c r="BG4" s="242" t="n">
        <v>0</v>
      </c>
      <c r="BH4" s="242" t="n">
        <v>0</v>
      </c>
      <c r="BI4" s="42" t="n">
        <v>0</v>
      </c>
    </row>
    <row r="5">
      <c r="A5" s="38" t="inlineStr">
        <is>
          <t>Authorized Resources (oz)</t>
        </is>
      </c>
      <c r="B5" s="299" t="n">
        <v>0</v>
      </c>
      <c r="C5" s="123" t="n">
        <v>0</v>
      </c>
      <c r="D5" s="299" t="n">
        <v>0</v>
      </c>
      <c r="E5" s="242" t="n">
        <v>0</v>
      </c>
      <c r="F5" s="242" t="n">
        <v>0</v>
      </c>
      <c r="G5" s="124" t="n">
        <v>0</v>
      </c>
      <c r="H5" s="242" t="n">
        <v>0</v>
      </c>
      <c r="I5" s="242" t="n">
        <v>0</v>
      </c>
      <c r="J5" s="125">
        <f>'Mine Inventory'!M2</f>
        <v/>
      </c>
      <c r="K5" s="242" t="n">
        <v>0</v>
      </c>
      <c r="L5" s="124">
        <f>'Mine Inventory'!M3</f>
        <v/>
      </c>
      <c r="M5" s="242" t="n">
        <v>0</v>
      </c>
      <c r="N5" s="124">
        <f>'Mine Inventory'!M4</f>
        <v/>
      </c>
      <c r="O5" s="242" t="n">
        <v>0</v>
      </c>
      <c r="P5" s="242" t="n">
        <v>0</v>
      </c>
      <c r="Q5" s="124">
        <f>'Mine Inventory'!M5</f>
        <v/>
      </c>
      <c r="R5" s="242" t="n">
        <v>0</v>
      </c>
      <c r="S5" s="242" t="n">
        <v>0</v>
      </c>
      <c r="T5" s="124">
        <f>'Mine Inventory'!M6</f>
        <v/>
      </c>
      <c r="U5" s="242" t="n">
        <v>0</v>
      </c>
      <c r="V5" s="242" t="n">
        <v>0</v>
      </c>
      <c r="W5" s="242" t="n">
        <v>0</v>
      </c>
      <c r="X5" s="242" t="n">
        <v>0</v>
      </c>
      <c r="Y5" s="124">
        <f>'Mine Inventory'!M7</f>
        <v/>
      </c>
      <c r="Z5" s="242" t="n">
        <v>0</v>
      </c>
      <c r="AA5" s="242" t="n">
        <v>0</v>
      </c>
      <c r="AB5" s="124">
        <f>'Mine Inventory'!M8</f>
        <v/>
      </c>
      <c r="AC5" s="242" t="n">
        <v>0</v>
      </c>
      <c r="AD5" s="242" t="n">
        <v>0</v>
      </c>
      <c r="AE5" s="124">
        <f>'Mine Inventory'!M9</f>
        <v/>
      </c>
      <c r="AF5" s="242" t="n">
        <v>0</v>
      </c>
      <c r="AG5" s="124">
        <f>'Mine Inventory'!M10</f>
        <v/>
      </c>
      <c r="AH5" s="242" t="n">
        <v>0</v>
      </c>
      <c r="AI5" s="242" t="n">
        <v>0</v>
      </c>
      <c r="AJ5" s="242" t="n">
        <v>0</v>
      </c>
      <c r="AK5" s="242" t="n">
        <v>0</v>
      </c>
      <c r="AL5" s="242" t="n">
        <v>0</v>
      </c>
      <c r="AM5" s="124">
        <f>'Mine Inventory'!M11</f>
        <v/>
      </c>
      <c r="AN5" s="242" t="n">
        <v>0</v>
      </c>
      <c r="AO5" s="242" t="n">
        <v>0</v>
      </c>
      <c r="AP5" s="124">
        <f>'Mine Inventory'!M12</f>
        <v/>
      </c>
      <c r="AQ5" s="242" t="n">
        <v>0</v>
      </c>
      <c r="AR5" s="242" t="n">
        <v>0</v>
      </c>
      <c r="AS5" s="242" t="n">
        <v>0</v>
      </c>
      <c r="AT5" s="242" t="n">
        <v>0</v>
      </c>
      <c r="AU5" s="124">
        <f>'Mine Inventory'!M13</f>
        <v/>
      </c>
      <c r="AV5" s="242" t="n">
        <v>0</v>
      </c>
      <c r="AW5" s="242" t="n">
        <v>0</v>
      </c>
      <c r="AX5" s="242" t="n">
        <v>0</v>
      </c>
      <c r="AY5" s="242" t="n">
        <v>0</v>
      </c>
      <c r="AZ5" s="242" t="n">
        <v>0</v>
      </c>
      <c r="BA5" s="242" t="n">
        <v>0</v>
      </c>
      <c r="BB5" s="242" t="n">
        <v>0</v>
      </c>
      <c r="BC5" s="242" t="n">
        <v>0</v>
      </c>
      <c r="BD5" s="242" t="n">
        <v>0</v>
      </c>
      <c r="BE5" s="242" t="n">
        <v>0</v>
      </c>
      <c r="BF5" s="242" t="n">
        <v>0</v>
      </c>
      <c r="BG5" s="242" t="n">
        <v>0</v>
      </c>
      <c r="BH5" s="242" t="n">
        <v>0</v>
      </c>
      <c r="BI5" s="42" t="n">
        <v>0</v>
      </c>
    </row>
    <row r="6">
      <c r="A6" s="38" t="inlineStr">
        <is>
          <t>Releasable Resources (oz)</t>
        </is>
      </c>
      <c r="B6" s="299" t="n">
        <v>0</v>
      </c>
      <c r="C6" s="123" t="n">
        <v>0</v>
      </c>
      <c r="D6" s="299" t="n">
        <v>0</v>
      </c>
      <c r="E6" s="117" t="n">
        <v>0</v>
      </c>
      <c r="F6" s="117" t="n">
        <v>0</v>
      </c>
      <c r="G6" s="100" t="n">
        <v>0</v>
      </c>
      <c r="H6" s="100" t="n">
        <v>0</v>
      </c>
      <c r="I6" s="100" t="n">
        <v>0</v>
      </c>
      <c r="J6" s="100">
        <f>'Mine Inventory'!P2</f>
        <v/>
      </c>
      <c r="K6" s="100" t="n">
        <v>0</v>
      </c>
      <c r="L6" s="100">
        <f>'Mine Inventory'!$P$3</f>
        <v/>
      </c>
      <c r="M6" s="100" t="n">
        <v>0</v>
      </c>
      <c r="N6" s="100">
        <f>'Mine Inventory'!P4</f>
        <v/>
      </c>
      <c r="O6" s="100" t="n">
        <v>0</v>
      </c>
      <c r="P6" s="100" t="n">
        <v>0</v>
      </c>
      <c r="Q6" s="100">
        <f>'Mine Inventory'!P5</f>
        <v/>
      </c>
      <c r="R6" s="100" t="n">
        <v>0</v>
      </c>
      <c r="S6" s="100" t="n">
        <v>0</v>
      </c>
      <c r="T6" s="100">
        <f>'Mine Inventory'!P6</f>
        <v/>
      </c>
      <c r="U6" s="100" t="n">
        <v>0</v>
      </c>
      <c r="V6" s="100" t="n">
        <v>0</v>
      </c>
      <c r="W6" s="100" t="n">
        <v>0</v>
      </c>
      <c r="X6" s="100" t="n">
        <v>0</v>
      </c>
      <c r="Y6" s="100">
        <f>'Mine Inventory'!P7</f>
        <v/>
      </c>
      <c r="Z6" s="100" t="n">
        <v>0</v>
      </c>
      <c r="AA6" s="100" t="n">
        <v>0</v>
      </c>
      <c r="AB6" s="100">
        <f>'Mine Inventory'!P8</f>
        <v/>
      </c>
      <c r="AC6" s="100" t="n">
        <v>0</v>
      </c>
      <c r="AD6" s="100" t="n">
        <v>0</v>
      </c>
      <c r="AE6" s="100">
        <f>'Mine Inventory'!P9</f>
        <v/>
      </c>
      <c r="AF6" s="100" t="n">
        <v>0</v>
      </c>
      <c r="AG6" s="100">
        <f>'Mine Inventory'!P10</f>
        <v/>
      </c>
      <c r="AH6" s="100" t="n">
        <v>0</v>
      </c>
      <c r="AI6" s="100" t="n">
        <v>0</v>
      </c>
      <c r="AJ6" s="100" t="n">
        <v>0</v>
      </c>
      <c r="AK6" s="100" t="n">
        <v>0</v>
      </c>
      <c r="AL6" s="100" t="n">
        <v>0</v>
      </c>
      <c r="AM6" s="100">
        <f>'Mine Inventory'!P11</f>
        <v/>
      </c>
      <c r="AN6" s="100" t="n">
        <v>0</v>
      </c>
      <c r="AO6" s="100" t="n">
        <v>0</v>
      </c>
      <c r="AP6" s="100">
        <f>'Mine Inventory'!P12</f>
        <v/>
      </c>
      <c r="AQ6" s="100" t="n">
        <v>0</v>
      </c>
      <c r="AR6" s="100" t="n">
        <v>0</v>
      </c>
      <c r="AS6" s="100" t="n">
        <v>0</v>
      </c>
      <c r="AT6" s="100" t="n">
        <v>0</v>
      </c>
      <c r="AU6" s="100">
        <f>'Mine Inventory'!P13</f>
        <v/>
      </c>
      <c r="AV6" s="100" t="n">
        <v>0</v>
      </c>
      <c r="AW6" s="100" t="n">
        <v>0</v>
      </c>
      <c r="AX6" s="100" t="n">
        <v>0</v>
      </c>
      <c r="AY6" s="100" t="n">
        <v>0</v>
      </c>
      <c r="AZ6" s="100" t="n">
        <v>0</v>
      </c>
      <c r="BA6" s="100" t="n">
        <v>0</v>
      </c>
      <c r="BB6" s="100" t="n">
        <v>0</v>
      </c>
      <c r="BC6" s="100" t="n">
        <v>0</v>
      </c>
      <c r="BD6" s="100" t="n">
        <v>0</v>
      </c>
      <c r="BE6" s="100" t="n">
        <v>0</v>
      </c>
      <c r="BF6" s="100" t="n">
        <v>0</v>
      </c>
      <c r="BG6" s="100" t="n">
        <v>0</v>
      </c>
      <c r="BH6" s="100" t="n">
        <v>0</v>
      </c>
      <c r="BI6" s="100" t="n">
        <v>0</v>
      </c>
    </row>
    <row r="7">
      <c r="A7" s="38" t="inlineStr">
        <is>
          <t>Unlocked Resources (oz)</t>
        </is>
      </c>
      <c r="B7" s="299" t="n">
        <v>0</v>
      </c>
      <c r="C7" s="123" t="n">
        <v>0</v>
      </c>
      <c r="D7" s="299" t="n">
        <v>0</v>
      </c>
      <c r="E7" s="117" t="n">
        <v>0</v>
      </c>
      <c r="F7" s="117" t="n">
        <v>0</v>
      </c>
      <c r="G7" s="100" t="n">
        <v>0</v>
      </c>
      <c r="H7" s="100">
        <f>(H5*'Release Terms'!C2)*'Release Terms'!E2</f>
        <v/>
      </c>
      <c r="I7" s="117" t="n">
        <v>0</v>
      </c>
      <c r="J7" s="87">
        <f>'Mine Inventory'!Q2</f>
        <v/>
      </c>
      <c r="K7" s="87" t="n">
        <v>0</v>
      </c>
      <c r="L7" s="87">
        <f>'Mine Inventory'!$Q$3</f>
        <v/>
      </c>
      <c r="M7" s="87" t="n">
        <v>0</v>
      </c>
      <c r="N7" s="87">
        <f>'Mine Inventory'!Q4</f>
        <v/>
      </c>
      <c r="O7" s="87" t="n">
        <v>0</v>
      </c>
      <c r="P7" s="87" t="n">
        <v>0</v>
      </c>
      <c r="Q7" s="87">
        <f>'Mine Inventory'!Q5</f>
        <v/>
      </c>
      <c r="R7" s="87" t="n">
        <v>0</v>
      </c>
      <c r="S7" s="87" t="n">
        <v>0</v>
      </c>
      <c r="T7" s="87">
        <f>'Mine Inventory'!Q6</f>
        <v/>
      </c>
      <c r="U7" s="87" t="n">
        <v>0</v>
      </c>
      <c r="V7" s="87">
        <f>'Mine Inventory'!W2</f>
        <v/>
      </c>
      <c r="W7" s="87" t="n">
        <v>0</v>
      </c>
      <c r="X7" s="87">
        <f>'Mine Inventory'!$W$3</f>
        <v/>
      </c>
      <c r="Y7" s="87">
        <f>'Mine Inventory'!Q7</f>
        <v/>
      </c>
      <c r="Z7" s="87">
        <f>'Mine Inventory'!$W$4</f>
        <v/>
      </c>
      <c r="AA7" s="87" t="n">
        <v>0</v>
      </c>
      <c r="AB7" s="87">
        <f>'Mine Inventory'!Q8</f>
        <v/>
      </c>
      <c r="AC7" s="87">
        <f>'Mine Inventory'!$W$5</f>
        <v/>
      </c>
      <c r="AD7" s="87" t="n">
        <v>0</v>
      </c>
      <c r="AE7" s="87">
        <f>'Mine Inventory'!Q9</f>
        <v/>
      </c>
      <c r="AF7" s="126">
        <f>'Mine Inventory'!$W$6</f>
        <v/>
      </c>
      <c r="AG7" s="87">
        <f>'Mine Inventory'!Q10</f>
        <v/>
      </c>
      <c r="AH7" s="87">
        <f>'Mine Inventory'!$W$2</f>
        <v/>
      </c>
      <c r="AI7" s="87" t="n">
        <v>0</v>
      </c>
      <c r="AJ7" s="87">
        <f>'Mine Inventory'!$W$3</f>
        <v/>
      </c>
      <c r="AK7" s="87">
        <f>'Mine Inventory'!$W$7</f>
        <v/>
      </c>
      <c r="AL7" s="87">
        <f>'Mine Inventory'!$W$4</f>
        <v/>
      </c>
      <c r="AM7" s="87">
        <f>'Mine Inventory'!Q11</f>
        <v/>
      </c>
      <c r="AN7" s="87">
        <f>'Mine Inventory'!$W$8</f>
        <v/>
      </c>
      <c r="AO7" s="87">
        <f>'Mine Inventory'!$W$5</f>
        <v/>
      </c>
      <c r="AP7" s="87">
        <f>'Mine Inventory'!Q12</f>
        <v/>
      </c>
      <c r="AQ7" s="87">
        <f>'Mine Inventory'!$W$9</f>
        <v/>
      </c>
      <c r="AR7" s="126">
        <f>'Mine Inventory'!$W$6</f>
        <v/>
      </c>
      <c r="AS7" s="87">
        <f>'Mine Inventory'!$W$10</f>
        <v/>
      </c>
      <c r="AT7" s="87">
        <f>'Mine Inventory'!$W$2</f>
        <v/>
      </c>
      <c r="AU7" s="87">
        <f>'Mine Inventory'!Q13</f>
        <v/>
      </c>
      <c r="AV7" s="87">
        <f>'Mine Inventory'!$W$3</f>
        <v/>
      </c>
      <c r="AW7" s="87">
        <f>'Mine Inventory'!$W$7</f>
        <v/>
      </c>
      <c r="AX7" s="87">
        <f>'Mine Inventory'!$W$4</f>
        <v/>
      </c>
      <c r="AY7" s="87">
        <f>'Mine Inventory'!$W$11</f>
        <v/>
      </c>
      <c r="AZ7" s="87">
        <f>'Mine Inventory'!$W$8</f>
        <v/>
      </c>
      <c r="BA7" s="87">
        <f>'Mine Inventory'!$W$5</f>
        <v/>
      </c>
      <c r="BB7" s="87">
        <f>'Mine Inventory'!$W$12</f>
        <v/>
      </c>
      <c r="BC7" s="87">
        <f>'Mine Inventory'!$W$9</f>
        <v/>
      </c>
      <c r="BD7" s="126">
        <f>'Mine Inventory'!$W$6</f>
        <v/>
      </c>
      <c r="BE7" s="87">
        <f>'Mine Inventory'!$W$10</f>
        <v/>
      </c>
      <c r="BF7" s="87">
        <f>'Mine Inventory'!$W$2</f>
        <v/>
      </c>
      <c r="BG7" s="87">
        <f>'Mine Inventory'!$W$13</f>
        <v/>
      </c>
      <c r="BH7" s="87">
        <f>'Mine Inventory'!$W$3</f>
        <v/>
      </c>
      <c r="BI7" s="87">
        <f>'Mine Inventory'!$W$7</f>
        <v/>
      </c>
    </row>
    <row r="8">
      <c r="A8" s="38" t="inlineStr">
        <is>
          <t>Unitization Fees (oz)</t>
        </is>
      </c>
      <c r="B8" s="299" t="n">
        <v>0</v>
      </c>
      <c r="C8" s="123" t="n">
        <v>0</v>
      </c>
      <c r="D8" s="299" t="n">
        <v>0</v>
      </c>
      <c r="E8" s="117" t="n">
        <v>0</v>
      </c>
      <c r="F8" s="117" t="n">
        <v>0</v>
      </c>
      <c r="G8" s="100">
        <f>(G5*Inputs!B25)</f>
        <v/>
      </c>
      <c r="H8" s="100">
        <f>(H5*Inputs!B25)/'Release Terms'!D2</f>
        <v/>
      </c>
      <c r="I8" s="117" t="n">
        <v>0</v>
      </c>
      <c r="J8" s="87">
        <f>(J5*0.5%)</f>
        <v/>
      </c>
      <c r="K8" s="87" t="n">
        <v>0</v>
      </c>
      <c r="L8" s="87">
        <f>(L5*Inputs!$B$25)</f>
        <v/>
      </c>
      <c r="M8" s="87" t="n">
        <v>0</v>
      </c>
      <c r="N8" s="87">
        <f>(N5*Inputs!$B$25)</f>
        <v/>
      </c>
      <c r="O8" s="87" t="n">
        <v>0</v>
      </c>
      <c r="P8" s="87" t="n">
        <v>0</v>
      </c>
      <c r="Q8" s="87">
        <f>'Mine Inventory'!U5</f>
        <v/>
      </c>
      <c r="R8" s="87" t="n">
        <v>0</v>
      </c>
      <c r="S8" s="87" t="n">
        <v>0</v>
      </c>
      <c r="T8" s="87">
        <f>'Mine Inventory'!U6</f>
        <v/>
      </c>
      <c r="U8" s="87" t="n">
        <v>0</v>
      </c>
      <c r="V8" s="87" t="n">
        <v>0</v>
      </c>
      <c r="W8" s="87" t="n">
        <v>0</v>
      </c>
      <c r="X8" s="87">
        <f>'Mine Inventory'!$U$2</f>
        <v/>
      </c>
      <c r="Y8" s="87">
        <f>'Mine Inventory'!U7</f>
        <v/>
      </c>
      <c r="Z8" s="87">
        <f>'Mine Inventory'!$U$4</f>
        <v/>
      </c>
      <c r="AA8" s="87" t="n">
        <v>0</v>
      </c>
      <c r="AB8" s="87">
        <f>'Mine Inventory'!U8</f>
        <v/>
      </c>
      <c r="AC8" s="87">
        <f>'Mine Inventory'!$U$5</f>
        <v/>
      </c>
      <c r="AD8" s="87" t="n">
        <v>0</v>
      </c>
      <c r="AE8" s="87">
        <f>'Mine Inventory'!$U$9</f>
        <v/>
      </c>
      <c r="AF8" s="87">
        <f>'Mine Inventory'!$U$6</f>
        <v/>
      </c>
      <c r="AG8" s="87">
        <f>'Mine Inventory'!U10</f>
        <v/>
      </c>
      <c r="AH8" s="87" t="n">
        <v>0</v>
      </c>
      <c r="AI8" s="87" t="n">
        <v>0</v>
      </c>
      <c r="AJ8" s="87">
        <f>'Mine Inventory'!$U$2</f>
        <v/>
      </c>
      <c r="AK8" s="87">
        <f>'Mine Inventory'!$U$7</f>
        <v/>
      </c>
      <c r="AL8" s="87">
        <f>'Mine Inventory'!$U$4</f>
        <v/>
      </c>
      <c r="AM8" s="87">
        <f>'Mine Inventory'!U11</f>
        <v/>
      </c>
      <c r="AN8" s="87">
        <f>'Mine Inventory'!$U$8</f>
        <v/>
      </c>
      <c r="AO8" s="87">
        <f>'Mine Inventory'!$U$5</f>
        <v/>
      </c>
      <c r="AP8" s="87">
        <f>'Mine Inventory'!U12</f>
        <v/>
      </c>
      <c r="AQ8" s="87">
        <f>'Mine Inventory'!$U$9</f>
        <v/>
      </c>
      <c r="AR8" s="87">
        <f>'Mine Inventory'!$U$6</f>
        <v/>
      </c>
      <c r="AS8" s="87">
        <f>'Mine Inventory'!$U$10</f>
        <v/>
      </c>
      <c r="AT8" s="87" t="n">
        <v>0</v>
      </c>
      <c r="AU8" s="87">
        <f>'Mine Inventory'!U13</f>
        <v/>
      </c>
      <c r="AV8" s="87">
        <f>'Mine Inventory'!$U$2</f>
        <v/>
      </c>
      <c r="AW8" s="87">
        <f>'Mine Inventory'!$U$7</f>
        <v/>
      </c>
      <c r="AX8" s="87">
        <f>'Mine Inventory'!$U$4</f>
        <v/>
      </c>
      <c r="AY8" s="87">
        <f>'Mine Inventory'!$U$11</f>
        <v/>
      </c>
      <c r="AZ8" s="87">
        <f>'Mine Inventory'!$U$8</f>
        <v/>
      </c>
      <c r="BA8" s="87">
        <f>'Mine Inventory'!$U$5</f>
        <v/>
      </c>
      <c r="BB8" s="87">
        <f>'Mine Inventory'!$U$12</f>
        <v/>
      </c>
      <c r="BC8" s="87">
        <f>'Mine Inventory'!$U$9</f>
        <v/>
      </c>
      <c r="BD8" s="87">
        <f>'Mine Inventory'!$U$6</f>
        <v/>
      </c>
      <c r="BE8" s="87">
        <f>'Mine Inventory'!$U$10</f>
        <v/>
      </c>
      <c r="BF8" s="87" t="n">
        <v>0</v>
      </c>
      <c r="BG8" s="87">
        <f>'Mine Inventory'!$U$13</f>
        <v/>
      </c>
      <c r="BH8" s="87">
        <f>'Mine Inventory'!$U$2</f>
        <v/>
      </c>
      <c r="BI8" s="87">
        <f>'Mine Inventory'!$U$7</f>
        <v/>
      </c>
    </row>
    <row r="9">
      <c r="A9" s="38" t="inlineStr">
        <is>
          <t>Available 1031 units (oz)</t>
        </is>
      </c>
      <c r="B9" s="299" t="n">
        <v>0</v>
      </c>
      <c r="C9" s="299" t="n">
        <v>0</v>
      </c>
      <c r="D9" s="299" t="n">
        <v>0</v>
      </c>
      <c r="E9" s="117" t="n">
        <v>0</v>
      </c>
      <c r="F9" s="117" t="n">
        <v>0</v>
      </c>
      <c r="G9" s="117" t="n">
        <v>0</v>
      </c>
      <c r="H9" s="117" t="n">
        <v>0</v>
      </c>
      <c r="I9" s="117" t="n">
        <v>0</v>
      </c>
      <c r="J9" s="87">
        <f>(J7)*'Mine Inventory'!AE2</f>
        <v/>
      </c>
      <c r="K9" s="87" t="n">
        <v>0</v>
      </c>
      <c r="L9" s="87">
        <f>L7*'Mine Inventory'!$AE$3</f>
        <v/>
      </c>
      <c r="M9" s="87" t="n">
        <v>0</v>
      </c>
      <c r="N9" s="87">
        <f>N7*'Mine Inventory'!AE4</f>
        <v/>
      </c>
      <c r="O9" s="87" t="n">
        <v>0</v>
      </c>
      <c r="P9" s="87" t="n">
        <v>0</v>
      </c>
      <c r="Q9" s="87">
        <f>Q7*'Mine Inventory'!AE5</f>
        <v/>
      </c>
      <c r="R9" s="87" t="n">
        <v>0</v>
      </c>
      <c r="S9" s="87" t="n">
        <v>0</v>
      </c>
      <c r="T9" s="87">
        <f>T7*'Mine Inventory'!AE6</f>
        <v/>
      </c>
      <c r="U9" s="87" t="n">
        <v>0</v>
      </c>
      <c r="V9" s="87">
        <f>V7*'Mine Inventory'!$AE$2</f>
        <v/>
      </c>
      <c r="W9" s="87" t="n">
        <v>0</v>
      </c>
      <c r="X9" s="87">
        <f>X7*'Mine Inventory'!$AE$3</f>
        <v/>
      </c>
      <c r="Y9" s="87">
        <f>Y7*'Mine Inventory'!AE7</f>
        <v/>
      </c>
      <c r="Z9" s="87">
        <f>Z7*'Mine Inventory'!$AE$4</f>
        <v/>
      </c>
      <c r="AA9" s="87" t="n"/>
      <c r="AB9" s="87">
        <f>AB7*'Mine Inventory'!AE8</f>
        <v/>
      </c>
      <c r="AC9" s="87">
        <f>AC7*'Mine Inventory'!$AE$5</f>
        <v/>
      </c>
      <c r="AD9" s="87" t="n"/>
      <c r="AE9" s="87">
        <f>AE7*'Mine Inventory'!AE9</f>
        <v/>
      </c>
      <c r="AF9" s="87">
        <f>AF7*'Mine Inventory'!$AE$6</f>
        <v/>
      </c>
      <c r="AG9" s="87">
        <f>AG7*'Mine Inventory'!AE10</f>
        <v/>
      </c>
      <c r="AH9" s="87">
        <f>AH7*'Mine Inventory'!$AE$2</f>
        <v/>
      </c>
      <c r="AI9" s="87" t="n"/>
      <c r="AJ9" s="87">
        <f>AJ7*'Mine Inventory'!$AE$3</f>
        <v/>
      </c>
      <c r="AK9" s="87">
        <f>AK7*'Mine Inventory'!$AE$7</f>
        <v/>
      </c>
      <c r="AL9" s="87">
        <f>AL7*'Mine Inventory'!$AE$4</f>
        <v/>
      </c>
      <c r="AM9" s="87">
        <f>AM7*'Mine Inventory'!AE11</f>
        <v/>
      </c>
      <c r="AN9" s="87">
        <f>AN7*'Mine Inventory'!$AE$8</f>
        <v/>
      </c>
      <c r="AO9" s="87">
        <f>AO7*'Mine Inventory'!$AE$5</f>
        <v/>
      </c>
      <c r="AP9" s="87">
        <f>AP7*'Mine Inventory'!AE12</f>
        <v/>
      </c>
      <c r="AQ9" s="87">
        <f>AQ7*'Mine Inventory'!$AE$9</f>
        <v/>
      </c>
      <c r="AR9" s="87">
        <f>AR7*'Mine Inventory'!$AE$6</f>
        <v/>
      </c>
      <c r="AS9" s="87">
        <f>AS7*'Mine Inventory'!$AE$10</f>
        <v/>
      </c>
      <c r="AT9" s="87">
        <f>AT7*'Mine Inventory'!$AE$2</f>
        <v/>
      </c>
      <c r="AU9" s="87">
        <f>AU7*'Mine Inventory'!AE13</f>
        <v/>
      </c>
      <c r="AV9" s="87">
        <f>AV7*'Mine Inventory'!$AE$3</f>
        <v/>
      </c>
      <c r="AW9" s="87">
        <f>AW7*'Mine Inventory'!$AE$7</f>
        <v/>
      </c>
      <c r="AX9" s="87">
        <f>AX7*'Mine Inventory'!$AE$4</f>
        <v/>
      </c>
      <c r="AY9" s="87">
        <f>AY7*'Mine Inventory'!$AE$11</f>
        <v/>
      </c>
      <c r="AZ9" s="87">
        <f>AZ7*'Mine Inventory'!$AE$8</f>
        <v/>
      </c>
      <c r="BA9" s="87">
        <f>BA7*'Mine Inventory'!$AE$5</f>
        <v/>
      </c>
      <c r="BB9" s="87">
        <f>BB7*'Mine Inventory'!$AE$12</f>
        <v/>
      </c>
      <c r="BC9" s="87">
        <f>BC7*'Mine Inventory'!$AE$9</f>
        <v/>
      </c>
      <c r="BD9" s="87">
        <f>BD7*'Mine Inventory'!$AE$6</f>
        <v/>
      </c>
      <c r="BE9" s="87">
        <f>BE7*'Mine Inventory'!$AE$10</f>
        <v/>
      </c>
      <c r="BF9" s="87">
        <f>BF7*'Mine Inventory'!$AE$2</f>
        <v/>
      </c>
      <c r="BG9" s="87">
        <f>BG7*'Mine Inventory'!$AE$13</f>
        <v/>
      </c>
      <c r="BH9" s="87">
        <f>BH7*'Mine Inventory'!$AE$3</f>
        <v/>
      </c>
      <c r="BI9" s="87">
        <f>BI7*'Mine Inventory'!$AE$7</f>
        <v/>
      </c>
    </row>
    <row r="10">
      <c r="A10" s="38" t="inlineStr">
        <is>
          <t>Admin Fees (oz)</t>
        </is>
      </c>
      <c r="B10" s="299" t="n">
        <v>0</v>
      </c>
      <c r="C10" s="299" t="n">
        <v>0</v>
      </c>
      <c r="D10" s="299" t="n">
        <v>0</v>
      </c>
      <c r="E10" s="117" t="n">
        <v>0</v>
      </c>
      <c r="F10" s="117" t="n">
        <v>0</v>
      </c>
      <c r="G10" s="100">
        <f>G7*Inputs!B26</f>
        <v/>
      </c>
      <c r="H10" s="100">
        <f>H7*Inputs!B26</f>
        <v/>
      </c>
      <c r="I10" s="117" t="n">
        <v>0</v>
      </c>
      <c r="J10" s="87">
        <f>J7*Inputs!$B$26</f>
        <v/>
      </c>
      <c r="K10" s="87">
        <f>K7*Inputs!$B$26</f>
        <v/>
      </c>
      <c r="L10" s="87">
        <f>L7*Inputs!$B$26</f>
        <v/>
      </c>
      <c r="M10" s="87">
        <f>M7*Inputs!$B$26</f>
        <v/>
      </c>
      <c r="N10" s="87">
        <f>N9*Inputs!$B$26</f>
        <v/>
      </c>
      <c r="O10" s="87">
        <f>O9*Inputs!$B$26</f>
        <v/>
      </c>
      <c r="P10" s="87">
        <f>P9*Inputs!$B$26</f>
        <v/>
      </c>
      <c r="Q10" s="87">
        <f>Q9*Inputs!$B$26</f>
        <v/>
      </c>
      <c r="R10" s="87">
        <f>R9*Inputs!$B$26</f>
        <v/>
      </c>
      <c r="S10" s="87">
        <f>S9*Inputs!$B$26</f>
        <v/>
      </c>
      <c r="T10" s="87">
        <f>T9*Inputs!$B$26</f>
        <v/>
      </c>
      <c r="U10" s="87">
        <f>U9*Inputs!$B$26</f>
        <v/>
      </c>
      <c r="V10" s="87">
        <f>V9*Inputs!$B$26</f>
        <v/>
      </c>
      <c r="W10" s="87">
        <f>W9*Inputs!$B$26</f>
        <v/>
      </c>
      <c r="X10" s="87">
        <f>X9*Inputs!$B$26</f>
        <v/>
      </c>
      <c r="Y10" s="87">
        <f>Y9*Inputs!$B$26</f>
        <v/>
      </c>
      <c r="Z10" s="87">
        <f>Z9*Inputs!$B$26</f>
        <v/>
      </c>
      <c r="AA10" s="87">
        <f>AA9*Inputs!$B$26</f>
        <v/>
      </c>
      <c r="AB10" s="87">
        <f>AB9*Inputs!$B$26</f>
        <v/>
      </c>
      <c r="AC10" s="87">
        <f>AC9*Inputs!$B$26</f>
        <v/>
      </c>
      <c r="AD10" s="87">
        <f>AD9*Inputs!$B$26</f>
        <v/>
      </c>
      <c r="AE10" s="87">
        <f>AE9*Inputs!$B$26</f>
        <v/>
      </c>
      <c r="AF10" s="87">
        <f>AF9*Inputs!$B$26</f>
        <v/>
      </c>
      <c r="AG10" s="87">
        <f>AG9*Inputs!$B$26</f>
        <v/>
      </c>
      <c r="AH10" s="87">
        <f>AH9*Inputs!$B$26</f>
        <v/>
      </c>
      <c r="AI10" s="87">
        <f>AI9*Inputs!$B$26</f>
        <v/>
      </c>
      <c r="AJ10" s="87">
        <f>AJ9*Inputs!$B$26</f>
        <v/>
      </c>
      <c r="AK10" s="87">
        <f>AK9*Inputs!$B$26</f>
        <v/>
      </c>
      <c r="AL10" s="87">
        <f>AL9*Inputs!$B$26</f>
        <v/>
      </c>
      <c r="AM10" s="87">
        <f>AM9*Inputs!$B$26</f>
        <v/>
      </c>
      <c r="AN10" s="87">
        <f>AN9*Inputs!$B$26</f>
        <v/>
      </c>
      <c r="AO10" s="87">
        <f>AO9*Inputs!$B$26</f>
        <v/>
      </c>
      <c r="AP10" s="87">
        <f>AP9*Inputs!$B$26</f>
        <v/>
      </c>
      <c r="AQ10" s="87">
        <f>AQ9*Inputs!$B$26</f>
        <v/>
      </c>
      <c r="AR10" s="87">
        <f>AR9*Inputs!$B$26</f>
        <v/>
      </c>
      <c r="AS10" s="87">
        <f>AS9*Inputs!$B$26</f>
        <v/>
      </c>
      <c r="AT10" s="87">
        <f>AT9*Inputs!$B$26</f>
        <v/>
      </c>
      <c r="AU10" s="87">
        <f>AU9*Inputs!$B$26</f>
        <v/>
      </c>
      <c r="AV10" s="87">
        <f>AV9*Inputs!$B$26</f>
        <v/>
      </c>
      <c r="AW10" s="87">
        <f>AW9*Inputs!$B$26</f>
        <v/>
      </c>
      <c r="AX10" s="87">
        <f>AX9*Inputs!$B$26</f>
        <v/>
      </c>
      <c r="AY10" s="87">
        <f>AY9*Inputs!$B$26</f>
        <v/>
      </c>
      <c r="AZ10" s="87">
        <f>AZ9*Inputs!$B$26</f>
        <v/>
      </c>
      <c r="BA10" s="87">
        <f>BA9*Inputs!$B$26</f>
        <v/>
      </c>
      <c r="BB10" s="87">
        <f>BB9*Inputs!$B$26</f>
        <v/>
      </c>
      <c r="BC10" s="87">
        <f>BC9*Inputs!$B$26</f>
        <v/>
      </c>
      <c r="BD10" s="87">
        <f>BD9*Inputs!$B$26</f>
        <v/>
      </c>
      <c r="BE10" s="87">
        <f>BE9*Inputs!$B$26</f>
        <v/>
      </c>
      <c r="BF10" s="87">
        <f>BF9*Inputs!$B$26</f>
        <v/>
      </c>
      <c r="BG10" s="87">
        <f>BG9*Inputs!$B$26</f>
        <v/>
      </c>
      <c r="BH10" s="87">
        <f>BH9*Inputs!$B$26</f>
        <v/>
      </c>
      <c r="BI10" s="87">
        <f>BI9*Inputs!$B$26</f>
        <v/>
      </c>
    </row>
    <row r="11">
      <c r="A11" s="38" t="inlineStr">
        <is>
          <t>RGT Liquidity Fee (oz)</t>
        </is>
      </c>
      <c r="B11" s="299" t="n">
        <v>0</v>
      </c>
      <c r="C11" s="299" t="n">
        <v>0</v>
      </c>
      <c r="D11" s="299" t="n">
        <v>0</v>
      </c>
      <c r="E11" s="117" t="n">
        <v>0</v>
      </c>
      <c r="F11" s="117" t="n">
        <v>0</v>
      </c>
      <c r="G11" s="117" t="n">
        <v>0</v>
      </c>
      <c r="H11" s="117" t="n">
        <v>0</v>
      </c>
      <c r="I11" s="117" t="n">
        <v>0</v>
      </c>
      <c r="J11" s="87">
        <f>'Mine Inventory'!R2</f>
        <v/>
      </c>
      <c r="K11" s="87" t="n">
        <v>0</v>
      </c>
      <c r="L11" s="87">
        <f>'Mine Inventory'!R3</f>
        <v/>
      </c>
      <c r="M11" s="87" t="n">
        <v>0</v>
      </c>
      <c r="N11" s="87">
        <f>'Mine Inventory'!R4</f>
        <v/>
      </c>
      <c r="O11" s="87" t="n">
        <v>0</v>
      </c>
      <c r="P11" s="87" t="n">
        <v>0</v>
      </c>
      <c r="Q11" s="87">
        <f>'Mine Inventory'!R5</f>
        <v/>
      </c>
      <c r="R11" s="87" t="n">
        <v>0</v>
      </c>
      <c r="S11" s="87" t="n">
        <v>0</v>
      </c>
      <c r="T11" s="87">
        <f>'Mine Inventory'!R6</f>
        <v/>
      </c>
      <c r="U11" s="87" t="n">
        <v>0</v>
      </c>
      <c r="V11" s="87" t="n">
        <v>0</v>
      </c>
      <c r="W11" s="87" t="n">
        <v>0</v>
      </c>
      <c r="X11" s="87" t="n">
        <v>0</v>
      </c>
      <c r="Y11" s="87">
        <f>'Mine Inventory'!R7</f>
        <v/>
      </c>
      <c r="Z11" s="87" t="n">
        <v>0</v>
      </c>
      <c r="AA11" s="87" t="n">
        <v>0</v>
      </c>
      <c r="AB11" s="87">
        <f>'Mine Inventory'!R8</f>
        <v/>
      </c>
      <c r="AC11" s="87" t="n">
        <v>0</v>
      </c>
      <c r="AD11" s="87" t="n">
        <v>0</v>
      </c>
      <c r="AE11" s="87">
        <f>'Mine Inventory'!R9</f>
        <v/>
      </c>
      <c r="AF11" s="87" t="n">
        <v>0</v>
      </c>
      <c r="AG11" s="87">
        <f>'Mine Inventory'!R10</f>
        <v/>
      </c>
      <c r="AH11" s="87" t="n">
        <v>0</v>
      </c>
      <c r="AI11" s="87" t="n">
        <v>0</v>
      </c>
      <c r="AJ11" s="87" t="n">
        <v>0</v>
      </c>
      <c r="AK11" s="87" t="n">
        <v>0</v>
      </c>
      <c r="AL11" s="87" t="n">
        <v>0</v>
      </c>
      <c r="AM11" s="87">
        <f>'Mine Inventory'!R11</f>
        <v/>
      </c>
      <c r="AN11" s="87" t="n">
        <v>0</v>
      </c>
      <c r="AO11" s="87" t="n">
        <v>0</v>
      </c>
      <c r="AP11" s="87">
        <f>'Mine Inventory'!R12</f>
        <v/>
      </c>
      <c r="AQ11" s="87" t="n">
        <v>0</v>
      </c>
      <c r="AR11" s="87" t="n">
        <v>0</v>
      </c>
      <c r="AS11" s="87" t="n">
        <v>0</v>
      </c>
      <c r="AT11" s="87" t="n">
        <v>0</v>
      </c>
      <c r="AU11" s="87">
        <f>'Mine Inventory'!R13</f>
        <v/>
      </c>
      <c r="AV11" s="87" t="n">
        <v>0</v>
      </c>
      <c r="AW11" s="87" t="n">
        <v>0</v>
      </c>
      <c r="AX11" s="87" t="n">
        <v>0</v>
      </c>
      <c r="AY11" s="87" t="n">
        <v>0</v>
      </c>
      <c r="AZ11" s="87" t="n">
        <v>0</v>
      </c>
      <c r="BA11" s="87" t="n">
        <v>0</v>
      </c>
      <c r="BB11" s="87" t="n">
        <v>0</v>
      </c>
      <c r="BC11" s="87" t="n">
        <v>0</v>
      </c>
      <c r="BD11" s="87" t="n">
        <v>0</v>
      </c>
      <c r="BE11" s="87" t="n">
        <v>0</v>
      </c>
      <c r="BF11" s="87" t="n">
        <v>0</v>
      </c>
      <c r="BG11" s="87" t="n">
        <v>0</v>
      </c>
      <c r="BH11" s="87" t="n">
        <v>0</v>
      </c>
      <c r="BI11" s="87" t="n">
        <v>0</v>
      </c>
    </row>
    <row r="12">
      <c r="A12" s="38" t="inlineStr">
        <is>
          <t>New Allocation to RealGold Treasury (oz)</t>
        </is>
      </c>
      <c r="B12" s="299" t="n">
        <v>0</v>
      </c>
      <c r="C12" s="299" t="n">
        <v>0</v>
      </c>
      <c r="D12" s="299" t="n">
        <v>0</v>
      </c>
      <c r="E12" s="117" t="n">
        <v>0</v>
      </c>
      <c r="F12" s="117" t="n">
        <v>0</v>
      </c>
      <c r="G12" s="117" t="n">
        <v>0</v>
      </c>
      <c r="H12" s="117" t="n">
        <v>0</v>
      </c>
      <c r="I12" s="117" t="n">
        <v>0</v>
      </c>
      <c r="J12" s="87">
        <f>J11 + (J7*'Mine Inventory'!AF2)</f>
        <v/>
      </c>
      <c r="K12" s="87" t="n">
        <v>0</v>
      </c>
      <c r="L12" s="87">
        <f>L11 + (L7*'Mine Inventory'!AF3)</f>
        <v/>
      </c>
      <c r="M12" s="87" t="n">
        <v>0</v>
      </c>
      <c r="N12" s="87">
        <f>N11 + (N7*'Mine Inventory'!AF4)</f>
        <v/>
      </c>
      <c r="O12" s="87" t="n">
        <v>0</v>
      </c>
      <c r="P12" s="87" t="n">
        <v>0</v>
      </c>
      <c r="Q12" s="87">
        <f>Q11 + (Q7*'Mine Inventory'!AF5)</f>
        <v/>
      </c>
      <c r="R12" s="87" t="n">
        <v>0</v>
      </c>
      <c r="S12" s="87" t="n">
        <v>0</v>
      </c>
      <c r="T12" s="87">
        <f>T11 + (T7*'Mine Inventory'!AF6)</f>
        <v/>
      </c>
      <c r="U12" s="87" t="n">
        <v>0</v>
      </c>
      <c r="V12" s="87">
        <f>V7*'Mine Inventory'!$AF$2</f>
        <v/>
      </c>
      <c r="W12" s="87" t="n">
        <v>0</v>
      </c>
      <c r="X12" s="87">
        <f>X7*'Mine Inventory'!$AF$3</f>
        <v/>
      </c>
      <c r="Y12" s="87">
        <f>Y11 + (Y7*'Mine Inventory'!AF7)</f>
        <v/>
      </c>
      <c r="Z12" s="87">
        <f>Z7*'Mine Inventory'!$AF$4</f>
        <v/>
      </c>
      <c r="AA12" s="87" t="n"/>
      <c r="AB12" s="87">
        <f>AB11 + (AB7*'Mine Inventory'!AF8)</f>
        <v/>
      </c>
      <c r="AC12" s="87">
        <f>AC7*'Mine Inventory'!$AF$5</f>
        <v/>
      </c>
      <c r="AD12" s="87" t="n"/>
      <c r="AE12" s="87">
        <f>AE11 + (AE7*'Mine Inventory'!AF9)</f>
        <v/>
      </c>
      <c r="AF12" s="87">
        <f>AF7*'Mine Inventory'!$AF$6</f>
        <v/>
      </c>
      <c r="AG12" s="87">
        <f>AG11 + (AG7*'Mine Inventory'!AF10)</f>
        <v/>
      </c>
      <c r="AH12" s="87">
        <f>AH7*'Mine Inventory'!$AF$2</f>
        <v/>
      </c>
      <c r="AI12" s="87" t="n">
        <v>0</v>
      </c>
      <c r="AJ12" s="87">
        <f>AJ7*'Mine Inventory'!$AF$3</f>
        <v/>
      </c>
      <c r="AK12" s="87">
        <f>AK7*'Mine Inventory'!$AF$7</f>
        <v/>
      </c>
      <c r="AL12" s="87">
        <f>AL7*'Mine Inventory'!$AF$4</f>
        <v/>
      </c>
      <c r="AM12" s="87">
        <f>AM11 + (AM7*'Mine Inventory'!AF11)</f>
        <v/>
      </c>
      <c r="AN12" s="87">
        <f>AN7*'Mine Inventory'!$AF$8</f>
        <v/>
      </c>
      <c r="AO12" s="87">
        <f>AO7*'Mine Inventory'!$AF$5</f>
        <v/>
      </c>
      <c r="AP12" s="87">
        <f>AP11 + (AP7*'Mine Inventory'!AF12)</f>
        <v/>
      </c>
      <c r="AQ12" s="87">
        <f>AQ7*'Mine Inventory'!$AF$9</f>
        <v/>
      </c>
      <c r="AR12" s="87">
        <f>AR7*'Mine Inventory'!$AF$6</f>
        <v/>
      </c>
      <c r="AS12" s="87">
        <f>AS7*'Mine Inventory'!$AF$10</f>
        <v/>
      </c>
      <c r="AT12" s="87">
        <f>AT7*'Mine Inventory'!$AF$2</f>
        <v/>
      </c>
      <c r="AU12" s="87">
        <f>AU11 + (AU7*'Mine Inventory'!AF13)</f>
        <v/>
      </c>
      <c r="AV12" s="87">
        <f>AV7*'Mine Inventory'!$AF$3</f>
        <v/>
      </c>
      <c r="AW12" s="87">
        <f>AW7*'Mine Inventory'!$AF$7</f>
        <v/>
      </c>
      <c r="AX12" s="87">
        <f>AX7*'Mine Inventory'!$AF$4</f>
        <v/>
      </c>
      <c r="AY12" s="87">
        <f>AY7*'Mine Inventory'!$AF$10</f>
        <v/>
      </c>
      <c r="AZ12" s="87">
        <f>AZ7*'Mine Inventory'!$AF$8</f>
        <v/>
      </c>
      <c r="BA12" s="87">
        <f>BA7*'Mine Inventory'!$AF$5</f>
        <v/>
      </c>
      <c r="BB12" s="87">
        <f>BB7*'Mine Inventory'!$AF$12</f>
        <v/>
      </c>
      <c r="BC12" s="87">
        <f>BC7*'Mine Inventory'!$AF$9</f>
        <v/>
      </c>
      <c r="BD12" s="87">
        <f>BD7*'Mine Inventory'!$AF$6</f>
        <v/>
      </c>
      <c r="BE12" s="87">
        <f>BE7*'Mine Inventory'!$AF$10</f>
        <v/>
      </c>
      <c r="BF12" s="87">
        <f>BF7*'Mine Inventory'!$AF$2</f>
        <v/>
      </c>
      <c r="BG12" s="87">
        <f>BG7*'Mine Inventory'!$AF$13</f>
        <v/>
      </c>
      <c r="BH12" s="87">
        <f>BH7*'Mine Inventory'!$AF$3</f>
        <v/>
      </c>
      <c r="BI12" s="87">
        <f>BI7*'Mine Inventory'!$AF$7</f>
        <v/>
      </c>
    </row>
    <row r="13">
      <c r="A13" s="38" t="inlineStr">
        <is>
          <t>RealGold Token Minting Fees (oz)</t>
        </is>
      </c>
      <c r="B13" s="299" t="n">
        <v>0</v>
      </c>
      <c r="C13" s="299" t="n">
        <v>0</v>
      </c>
      <c r="D13" s="299" t="n">
        <v>0</v>
      </c>
      <c r="E13" s="117" t="n">
        <v>0</v>
      </c>
      <c r="F13" s="117" t="n">
        <v>0</v>
      </c>
      <c r="G13" s="100" t="n">
        <v>0</v>
      </c>
      <c r="H13" s="100" t="n">
        <v>0</v>
      </c>
      <c r="I13" s="117" t="n">
        <v>0</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t="n">
        <v>0</v>
      </c>
      <c r="C14" s="299" t="n">
        <v>0</v>
      </c>
      <c r="D14" s="299" t="n">
        <v>0</v>
      </c>
      <c r="E14" s="117" t="n">
        <v>0</v>
      </c>
      <c r="F14" s="117" t="n">
        <v>0</v>
      </c>
      <c r="G14" s="100">
        <f>sum(G8:G12)</f>
        <v/>
      </c>
      <c r="H14" s="100">
        <f>sum(H8:H12)</f>
        <v/>
      </c>
      <c r="I14" s="117" t="n">
        <v>0</v>
      </c>
      <c r="J14" s="87">
        <f>sum(J8+J10)</f>
        <v/>
      </c>
      <c r="K14" s="87" t="n">
        <v>0</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t="n">
        <v>0</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t="n">
        <v>0</v>
      </c>
      <c r="C15" s="299" t="n">
        <v>0</v>
      </c>
      <c r="D15" s="299" t="n">
        <v>0</v>
      </c>
      <c r="E15" s="117" t="n">
        <v>0</v>
      </c>
      <c r="F15" s="117" t="n">
        <v>0</v>
      </c>
      <c r="G15" s="100">
        <f>(G7-G10)*'Mine Inventory'!AE2</f>
        <v/>
      </c>
      <c r="H15" s="100">
        <f>(H7-H10)*'Mine Inventory'!AF2</f>
        <v/>
      </c>
      <c r="I15" s="117" t="n">
        <v>0</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t="n">
        <v>0</v>
      </c>
      <c r="C16" s="299" t="n">
        <v>0</v>
      </c>
      <c r="D16" s="299" t="n">
        <v>0</v>
      </c>
      <c r="E16" s="117" t="n">
        <v>0</v>
      </c>
      <c r="F16" s="117" t="n">
        <v>0</v>
      </c>
      <c r="G16" s="100" t="n">
        <v>0</v>
      </c>
      <c r="H16" s="100" t="n">
        <v>0</v>
      </c>
      <c r="I16" s="117" t="n">
        <v>0</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t="n">
        <v>0</v>
      </c>
      <c r="C18" s="123" t="n">
        <v>0</v>
      </c>
      <c r="D18" s="299" t="n">
        <v>0</v>
      </c>
      <c r="E18" s="117" t="n">
        <v>0</v>
      </c>
      <c r="F18" s="117" t="n">
        <v>0</v>
      </c>
      <c r="G18" s="133">
        <f>G4*XAUconfig!G3</f>
        <v/>
      </c>
      <c r="H18" s="133">
        <f>H4*XAUconfig!H3</f>
        <v/>
      </c>
      <c r="I18" s="133">
        <f>I4*XAUconfig!N3</f>
        <v/>
      </c>
      <c r="J18" s="133">
        <f>J4*XAUconfig!J3</f>
        <v/>
      </c>
      <c r="K18" s="133">
        <f>K4*XAUconfig!K3</f>
        <v/>
      </c>
      <c r="L18" s="133">
        <f>L4*XAUconfig!L3</f>
        <v/>
      </c>
      <c r="M18" s="133" t="n">
        <v>0</v>
      </c>
      <c r="N18" s="133">
        <f>N4*XAUconfig!N3</f>
        <v/>
      </c>
      <c r="O18" s="133" t="n">
        <v>0</v>
      </c>
      <c r="P18" s="133" t="n">
        <v>0</v>
      </c>
      <c r="Q18" s="133">
        <f>Q4*XAUconfig!Q3</f>
        <v/>
      </c>
      <c r="R18" s="133" t="n">
        <v>0</v>
      </c>
      <c r="S18" s="133" t="n">
        <v>0</v>
      </c>
      <c r="T18" s="133">
        <f>T4*XAUconfig!T3</f>
        <v/>
      </c>
      <c r="U18" s="133" t="n">
        <v>0</v>
      </c>
      <c r="V18" s="133" t="n">
        <v>0</v>
      </c>
      <c r="W18" s="133" t="n">
        <v>0</v>
      </c>
      <c r="X18" s="133">
        <f>X4*XAUconfig!Y3</f>
        <v/>
      </c>
      <c r="Y18" s="133">
        <f>Y4*XAUconfig!Y3</f>
        <v/>
      </c>
      <c r="Z18" s="133" t="n">
        <v>0</v>
      </c>
      <c r="AA18" s="133" t="n">
        <v>0</v>
      </c>
      <c r="AB18" s="133">
        <f>AB4*XAUconfig!AB3</f>
        <v/>
      </c>
      <c r="AC18" s="133" t="n">
        <v>0</v>
      </c>
      <c r="AD18" s="133" t="n">
        <v>0</v>
      </c>
      <c r="AE18" s="133" t="n">
        <v>0</v>
      </c>
      <c r="AF18" s="133" t="n">
        <v>0</v>
      </c>
      <c r="AG18" s="133">
        <f>AG4*XAUconfig!AG3</f>
        <v/>
      </c>
      <c r="AH18" s="133" t="n">
        <v>0</v>
      </c>
      <c r="AI18" s="133" t="n">
        <v>0</v>
      </c>
      <c r="AJ18" s="133">
        <f>AJ4*XAUconfig!AJ3</f>
        <v/>
      </c>
      <c r="AK18" s="133" t="n">
        <v>0</v>
      </c>
      <c r="AL18" s="133" t="n">
        <v>0</v>
      </c>
      <c r="AM18" s="133">
        <f>AM4*XAUconfig!AM3</f>
        <v/>
      </c>
      <c r="AN18" s="133" t="n">
        <v>0</v>
      </c>
      <c r="AO18" s="133" t="n">
        <v>0</v>
      </c>
      <c r="AP18" s="133">
        <f>AP4*XAUconfig!AP3</f>
        <v/>
      </c>
      <c r="AQ18" s="133" t="n">
        <v>0</v>
      </c>
      <c r="AR18" s="133" t="n">
        <v>0</v>
      </c>
      <c r="AS18" s="133" t="n">
        <v>0</v>
      </c>
      <c r="AT18" s="133" t="n">
        <v>0</v>
      </c>
      <c r="AU18" s="133">
        <f>AU4*XAUconfig!AU3</f>
        <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5" t="n">
        <v>0</v>
      </c>
    </row>
    <row r="19">
      <c r="A19" s="38" t="inlineStr">
        <is>
          <t>Authorized Resources ($)</t>
        </is>
      </c>
      <c r="B19" s="299" t="n">
        <v>0</v>
      </c>
      <c r="C19" s="123" t="n">
        <v>0</v>
      </c>
      <c r="D19" s="299" t="n">
        <v>0</v>
      </c>
      <c r="E19" s="117" t="n">
        <v>0</v>
      </c>
      <c r="F19" s="117" t="n">
        <v>0</v>
      </c>
      <c r="G19" s="133">
        <f>G5*XAUconfig!G3</f>
        <v/>
      </c>
      <c r="H19" s="133">
        <f>H5*XAUconfig!H3</f>
        <v/>
      </c>
      <c r="I19" s="133">
        <f>I5*XAUconfig!N3</f>
        <v/>
      </c>
      <c r="J19" s="133">
        <f>J5*XAUconfig!J3</f>
        <v/>
      </c>
      <c r="K19" s="133">
        <f>K5*XAUconfig!K3</f>
        <v/>
      </c>
      <c r="L19" s="133">
        <f>L5*XAUconfig!L3</f>
        <v/>
      </c>
      <c r="M19" s="133" t="n">
        <v>0</v>
      </c>
      <c r="N19" s="133">
        <f>N5*XAUconfig!N3</f>
        <v/>
      </c>
      <c r="O19" s="133" t="n">
        <v>0</v>
      </c>
      <c r="P19" s="133" t="n">
        <v>0</v>
      </c>
      <c r="Q19" s="133">
        <f>Q5*XAUconfig!Q3</f>
        <v/>
      </c>
      <c r="R19" s="133" t="n">
        <v>0</v>
      </c>
      <c r="S19" s="133" t="n">
        <v>0</v>
      </c>
      <c r="T19" s="133">
        <f>T5*XAUconfig!T3</f>
        <v/>
      </c>
      <c r="U19" s="133" t="n">
        <v>0</v>
      </c>
      <c r="V19" s="133" t="n">
        <v>0</v>
      </c>
      <c r="W19" s="133" t="n">
        <v>0</v>
      </c>
      <c r="X19" s="133">
        <f>X5*XAUconfig!X3</f>
        <v/>
      </c>
      <c r="Y19" s="133">
        <f>Y5*XAUconfig!Y3</f>
        <v/>
      </c>
      <c r="Z19" s="133">
        <f>Z5*Inputs!B9</f>
        <v/>
      </c>
      <c r="AA19" s="133" t="n">
        <v>0</v>
      </c>
      <c r="AB19" s="133">
        <f>AB5*XAUconfig!AB3</f>
        <v/>
      </c>
      <c r="AC19" s="133">
        <f>AC5*Inputs!B9</f>
        <v/>
      </c>
      <c r="AD19" s="133" t="n">
        <v>0</v>
      </c>
      <c r="AE19" s="133">
        <f>AE5*Inputs!B9</f>
        <v/>
      </c>
      <c r="AF19" s="133">
        <f>AF5*Inputs!B9</f>
        <v/>
      </c>
      <c r="AG19" s="133">
        <f>AG5*XAUconfig!AG3</f>
        <v/>
      </c>
      <c r="AH19" s="133">
        <f>AH5*Inputs!B9</f>
        <v/>
      </c>
      <c r="AI19" s="133">
        <f>AI5*Inputs!B9</f>
        <v/>
      </c>
      <c r="AJ19" s="133">
        <f>AJ5*XAUconfig!AJ3</f>
        <v/>
      </c>
      <c r="AK19" s="133">
        <f>AK5*Inputs!B9</f>
        <v/>
      </c>
      <c r="AL19" s="133">
        <f>AL5*Inputs!B9</f>
        <v/>
      </c>
      <c r="AM19" s="133">
        <f>AM5*XAUconfig!AM3</f>
        <v/>
      </c>
      <c r="AN19" s="133">
        <f>AN5*Inputs!B9</f>
        <v/>
      </c>
      <c r="AO19" s="133">
        <f>AO5*Inputs!B9</f>
        <v/>
      </c>
      <c r="AP19" s="133">
        <f>AP5*XAUconfig!AP3</f>
        <v/>
      </c>
      <c r="AQ19" s="133">
        <f>AQ5*Inputs!B9</f>
        <v/>
      </c>
      <c r="AR19" s="133">
        <f>AR5*Inputs!B9</f>
        <v/>
      </c>
      <c r="AS19" s="133">
        <f>AS5*Inputs!B9</f>
        <v/>
      </c>
      <c r="AT19" s="133">
        <f>AT5*Inputs!B9</f>
        <v/>
      </c>
      <c r="AU19" s="133">
        <f>AU5*XAUconfig!AU3</f>
        <v/>
      </c>
      <c r="AV19" s="133">
        <f>AV5*Inputs!B9</f>
        <v/>
      </c>
      <c r="AW19" s="133">
        <f>AW5*Inputs!B9</f>
        <v/>
      </c>
      <c r="AX19" s="133">
        <f>AX5*Inputs!B9</f>
        <v/>
      </c>
      <c r="AY19" s="133">
        <f>AY5*Inputs!B9</f>
        <v/>
      </c>
      <c r="AZ19" s="133">
        <f>AZ5*Inputs!B9</f>
        <v/>
      </c>
      <c r="BA19" s="133">
        <f>BA5*Inputs!B9</f>
        <v/>
      </c>
      <c r="BB19" s="133">
        <f>BB5*Inputs!B9</f>
        <v/>
      </c>
      <c r="BC19" s="133">
        <f>BC5*Inputs!B9</f>
        <v/>
      </c>
      <c r="BD19" s="133">
        <f>BD5*Inputs!B9</f>
        <v/>
      </c>
      <c r="BE19" s="133">
        <f>BE5*Inputs!B9</f>
        <v/>
      </c>
      <c r="BF19" s="133">
        <f>BF5*Inputs!B9</f>
        <v/>
      </c>
      <c r="BG19" s="133">
        <f>BG5*Inputs!B9</f>
        <v/>
      </c>
      <c r="BH19" s="133">
        <f>BH5*Inputs!B9</f>
        <v/>
      </c>
      <c r="BI19" s="135">
        <f>BI5*Inputs!B9</f>
        <v/>
      </c>
    </row>
    <row r="20">
      <c r="A20" s="38" t="inlineStr">
        <is>
          <t>Releasable Resources ($)</t>
        </is>
      </c>
      <c r="B20" s="299" t="n">
        <v>0</v>
      </c>
      <c r="C20" s="123" t="n">
        <v>0</v>
      </c>
      <c r="D20" s="299" t="n">
        <v>0</v>
      </c>
      <c r="E20" s="117" t="n">
        <v>0</v>
      </c>
      <c r="F20" s="117" t="n">
        <v>0</v>
      </c>
      <c r="G20" s="133">
        <f>G6*XAUconfig!G3</f>
        <v/>
      </c>
      <c r="H20" s="133">
        <f>H6*XAUconfig!H3</f>
        <v/>
      </c>
      <c r="I20" s="133">
        <f>I6*Inputs!B9</f>
        <v/>
      </c>
      <c r="J20" s="133">
        <f>J6*XAUconfig!J3</f>
        <v/>
      </c>
      <c r="K20" s="133">
        <f>K6*Inputs!B9</f>
        <v/>
      </c>
      <c r="L20" s="133">
        <f>L6*XAUconfig!L3</f>
        <v/>
      </c>
      <c r="M20" s="133">
        <f>M6*Inputs!B9</f>
        <v/>
      </c>
      <c r="N20" s="133">
        <f>N6*XAUconfig!N3</f>
        <v/>
      </c>
      <c r="O20" s="133">
        <f>O6*Inputs!B9</f>
        <v/>
      </c>
      <c r="P20" s="133">
        <f>P6*Inputs!B9</f>
        <v/>
      </c>
      <c r="Q20" s="133">
        <f>Q6*XAUconfig!Q3</f>
        <v/>
      </c>
      <c r="R20" s="133">
        <f>R6*Inputs!B9</f>
        <v/>
      </c>
      <c r="S20" s="133">
        <f>S6*XAUconfig!S3</f>
        <v/>
      </c>
      <c r="T20" s="133">
        <f>T6*XAUconfig!T3</f>
        <v/>
      </c>
      <c r="U20" s="133">
        <f>U6*Inputs!B9</f>
        <v/>
      </c>
      <c r="V20" s="133">
        <f>V6*XAUconfig!V3</f>
        <v/>
      </c>
      <c r="W20" s="133">
        <f>W6*Inputs!B9</f>
        <v/>
      </c>
      <c r="X20" s="133">
        <f>X6*XAUconfig!X3</f>
        <v/>
      </c>
      <c r="Y20" s="133">
        <f>Y6*XAUconfig!Y3</f>
        <v/>
      </c>
      <c r="Z20" s="133">
        <f>Z6*Inputs!B9</f>
        <v/>
      </c>
      <c r="AA20" s="133">
        <f>AA6*Inputs!B9</f>
        <v/>
      </c>
      <c r="AB20" s="133">
        <f>AB6*XAUconfig!AB3</f>
        <v/>
      </c>
      <c r="AC20" s="133">
        <f>AC6*Inputs!B9</f>
        <v/>
      </c>
      <c r="AD20" s="133">
        <f>AD6*Inputs!B9</f>
        <v/>
      </c>
      <c r="AE20" s="133">
        <f>AE6*Inputs!B9</f>
        <v/>
      </c>
      <c r="AF20" s="133" t="n">
        <v>0</v>
      </c>
      <c r="AG20" s="133">
        <f>AG6*XAUconfig!AG3</f>
        <v/>
      </c>
      <c r="AH20" s="133">
        <f>AH6*Inputs!B9</f>
        <v/>
      </c>
      <c r="AI20" s="133">
        <f>AI6*Inputs!B9</f>
        <v/>
      </c>
      <c r="AJ20" s="133">
        <f>AJ6*XAUconfig!AJ3</f>
        <v/>
      </c>
      <c r="AK20" s="133">
        <f>AK6*Inputs!B9</f>
        <v/>
      </c>
      <c r="AL20" s="133">
        <f>AL6*Inputs!B9</f>
        <v/>
      </c>
      <c r="AM20" s="133">
        <f>AM6*XAUconfig!AM3</f>
        <v/>
      </c>
      <c r="AN20" s="133">
        <f>AN6*Inputs!B9</f>
        <v/>
      </c>
      <c r="AO20" s="133">
        <f>AO6*Inputs!B9</f>
        <v/>
      </c>
      <c r="AP20" s="133">
        <f>AP6*XAUconfig!AP3</f>
        <v/>
      </c>
      <c r="AQ20" s="133">
        <f>AQ6*Inputs!B9</f>
        <v/>
      </c>
      <c r="AR20" s="133">
        <f>AR6*Inputs!B9</f>
        <v/>
      </c>
      <c r="AS20" s="133">
        <f>AS6*Inputs!B9</f>
        <v/>
      </c>
      <c r="AT20" s="133">
        <f>AT6*Inputs!B9</f>
        <v/>
      </c>
      <c r="AU20" s="133">
        <f>AU6*XAUconfig!AU3</f>
        <v/>
      </c>
      <c r="AV20" s="133">
        <f>AV6*Inputs!B9</f>
        <v/>
      </c>
      <c r="AW20" s="133">
        <f>AW6*Inputs!B9</f>
        <v/>
      </c>
      <c r="AX20" s="133">
        <f>AX6*Inputs!B9</f>
        <v/>
      </c>
      <c r="AY20" s="133">
        <f>AY6*Inputs!B9</f>
        <v/>
      </c>
      <c r="AZ20" s="133">
        <f>AZ6*Inputs!B9</f>
        <v/>
      </c>
      <c r="BA20" s="133">
        <f>BA6*Inputs!B9</f>
        <v/>
      </c>
      <c r="BB20" s="133">
        <f>BB6*Inputs!B9</f>
        <v/>
      </c>
      <c r="BC20" s="133">
        <f>BC6*Inputs!B9</f>
        <v/>
      </c>
      <c r="BD20" s="133">
        <f>BD6*Inputs!B9</f>
        <v/>
      </c>
      <c r="BE20" s="133">
        <f>BE6*Inputs!B9</f>
        <v/>
      </c>
      <c r="BF20" s="133">
        <f>BF6*Inputs!B9</f>
        <v/>
      </c>
      <c r="BG20" s="133">
        <f>BG6*Inputs!B9</f>
        <v/>
      </c>
      <c r="BH20" s="133">
        <f>BH6*Inputs!B9</f>
        <v/>
      </c>
      <c r="BI20" s="135">
        <f>BI6*Inputs!B9</f>
        <v/>
      </c>
    </row>
    <row r="21">
      <c r="A21" s="38" t="inlineStr">
        <is>
          <t>Unlocked Resources ($)</t>
        </is>
      </c>
      <c r="B21" s="299" t="n">
        <v>0</v>
      </c>
      <c r="C21" s="123" t="n">
        <v>0</v>
      </c>
      <c r="D21" s="299" t="n">
        <v>0</v>
      </c>
      <c r="E21" s="117" t="n">
        <v>0</v>
      </c>
      <c r="F21" s="117" t="n">
        <v>0</v>
      </c>
      <c r="G21" s="133">
        <f>G7*XAUconfig!G3</f>
        <v/>
      </c>
      <c r="H21" s="133">
        <f>H7*XAUconfig!H3</f>
        <v/>
      </c>
      <c r="I21" s="133">
        <f>I7*XAUconfig!N3</f>
        <v/>
      </c>
      <c r="J21" s="133">
        <f>J7*XAUconfig!J3</f>
        <v/>
      </c>
      <c r="K21" s="133">
        <f>K7*XAUconfig!K3</f>
        <v/>
      </c>
      <c r="L21" s="133">
        <f>L7*XAUconfig!L3</f>
        <v/>
      </c>
      <c r="M21" s="133" t="n">
        <v>0</v>
      </c>
      <c r="N21" s="133">
        <f>N7*XAUconfig!N3</f>
        <v/>
      </c>
      <c r="O21" s="133" t="n">
        <v>0</v>
      </c>
      <c r="P21" s="133" t="n">
        <v>0</v>
      </c>
      <c r="Q21" s="133">
        <f>Q7*XAUconfig!Q3</f>
        <v/>
      </c>
      <c r="R21" s="133" t="n">
        <v>0</v>
      </c>
      <c r="S21" s="133">
        <f>S7*XAUconfig!S3</f>
        <v/>
      </c>
      <c r="T21" s="133">
        <f>T7*XAUconfig!T3</f>
        <v/>
      </c>
      <c r="U21" s="133" t="n">
        <v>0</v>
      </c>
      <c r="V21" s="133">
        <f>V7*XAUconfig!V3</f>
        <v/>
      </c>
      <c r="W21" s="133">
        <f>W7*XAUconfig!W3</f>
        <v/>
      </c>
      <c r="X21" s="133">
        <f>X7*XAUconfig!X3</f>
        <v/>
      </c>
      <c r="Y21" s="133">
        <f>Y7*XAUconfig!Y3</f>
        <v/>
      </c>
      <c r="Z21" s="133">
        <f>Z7*XAUconfig!Z3</f>
        <v/>
      </c>
      <c r="AA21" s="133" t="n">
        <v>0</v>
      </c>
      <c r="AB21" s="133">
        <f>AB7*XAUconfig!AB3</f>
        <v/>
      </c>
      <c r="AC21" s="133">
        <f>AC7*XAUconfig!AC3</f>
        <v/>
      </c>
      <c r="AD21" s="133" t="n">
        <v>0</v>
      </c>
      <c r="AE21" s="133">
        <f>AE7*XAUconfig!AE3</f>
        <v/>
      </c>
      <c r="AF21" s="133">
        <f>AF7*XAUconfig!AF3</f>
        <v/>
      </c>
      <c r="AG21" s="133">
        <f>AG7*XAUconfig!AG3</f>
        <v/>
      </c>
      <c r="AH21" s="133">
        <f>AH7*XAUconfig!AH3</f>
        <v/>
      </c>
      <c r="AI21" s="133">
        <f>AI7*Inputs!B9</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t="n">
        <v>0</v>
      </c>
      <c r="C22" s="123" t="n">
        <v>0</v>
      </c>
      <c r="D22" s="299" t="n">
        <v>0</v>
      </c>
      <c r="E22" s="117" t="n">
        <v>0</v>
      </c>
      <c r="F22" s="117" t="n">
        <v>0</v>
      </c>
      <c r="G22" s="133">
        <f>G8*XAUconfig!G3</f>
        <v/>
      </c>
      <c r="H22" s="133">
        <f>H8*XAUconfig!H3</f>
        <v/>
      </c>
      <c r="I22" s="133">
        <f>I8*XAUconfig!N3</f>
        <v/>
      </c>
      <c r="J22" s="133">
        <f>J8*XAUconfig!J3</f>
        <v/>
      </c>
      <c r="K22" s="133">
        <f>K8*XAUconfig!K3</f>
        <v/>
      </c>
      <c r="L22" s="133">
        <f>L8*XAUconfig!L3</f>
        <v/>
      </c>
      <c r="M22" s="133" t="n">
        <v>0</v>
      </c>
      <c r="N22" s="133">
        <f>N8*XAUconfig!N3</f>
        <v/>
      </c>
      <c r="O22" s="133" t="n">
        <v>0</v>
      </c>
      <c r="P22" s="133" t="n">
        <v>0</v>
      </c>
      <c r="Q22" s="133">
        <f>Q8*XAUconfig!Q3</f>
        <v/>
      </c>
      <c r="R22" s="133" t="n">
        <v>0</v>
      </c>
      <c r="S22" s="133">
        <f>S8*XAUconfig!S3</f>
        <v/>
      </c>
      <c r="T22" s="133">
        <f>T8*XAUconfig!T3</f>
        <v/>
      </c>
      <c r="U22" s="133" t="n">
        <v>0</v>
      </c>
      <c r="V22" s="133">
        <f>V8*XAUconfig!V3</f>
        <v/>
      </c>
      <c r="W22" s="133" t="n">
        <v>0</v>
      </c>
      <c r="X22" s="133">
        <f>X8*XAUconfig!X3</f>
        <v/>
      </c>
      <c r="Y22" s="133">
        <f>Y8*XAUconfig!Y3</f>
        <v/>
      </c>
      <c r="Z22" s="133">
        <f>Z8*XAUconfig!Z3</f>
        <v/>
      </c>
      <c r="AA22" s="133" t="n">
        <v>0</v>
      </c>
      <c r="AB22" s="133">
        <f>AB8*XAUconfig!AB3</f>
        <v/>
      </c>
      <c r="AC22" s="133">
        <f>AC8*XAUconfig!AC3</f>
        <v/>
      </c>
      <c r="AD22" s="133" t="n">
        <v>0</v>
      </c>
      <c r="AE22" s="133">
        <f>AE8*XAUconfig!AE3</f>
        <v/>
      </c>
      <c r="AF22" s="133">
        <f>AF8*XAUconfig!AF3</f>
        <v/>
      </c>
      <c r="AG22" s="133">
        <f>AG8*XAUconfig!AG3</f>
        <v/>
      </c>
      <c r="AH22" s="133">
        <f>AH8*XAUconfig!AH3</f>
        <v/>
      </c>
      <c r="AI22" s="133">
        <f>AI8*Inputs!B9</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t="n">
        <v>0</v>
      </c>
      <c r="C23" s="299" t="n">
        <v>0</v>
      </c>
      <c r="D23" s="299" t="n">
        <v>0</v>
      </c>
      <c r="E23" s="117" t="n">
        <v>0</v>
      </c>
      <c r="F23" s="117" t="n">
        <v>0</v>
      </c>
      <c r="G23" s="133">
        <f>G10*XAUconfig!G3</f>
        <v/>
      </c>
      <c r="H23" s="133">
        <f>H10*XAUconfig!H3</f>
        <v/>
      </c>
      <c r="I23" s="133">
        <f>I10*XAUconfig!I3</f>
        <v/>
      </c>
      <c r="J23" s="133">
        <f>J10*XAUconfig!J3</f>
        <v/>
      </c>
      <c r="K23" s="133">
        <f>K10*XAUconfig!K3</f>
        <v/>
      </c>
      <c r="L23" s="133">
        <f>L10*XAUconfig!L3</f>
        <v/>
      </c>
      <c r="M23" s="133" t="n">
        <v>0</v>
      </c>
      <c r="N23" s="133">
        <f>N10*XAUconfig!N3</f>
        <v/>
      </c>
      <c r="O23" s="133" t="n">
        <v>0</v>
      </c>
      <c r="P23" s="133" t="n">
        <v>0</v>
      </c>
      <c r="Q23" s="133">
        <f>Q10*XAUconfig!Q3</f>
        <v/>
      </c>
      <c r="R23" s="133" t="n">
        <v>0</v>
      </c>
      <c r="S23" s="133">
        <f>S10*XAUconfig!S3</f>
        <v/>
      </c>
      <c r="T23" s="133">
        <f>T10*Inputs!B9</f>
        <v/>
      </c>
      <c r="U23" s="133" t="n">
        <v>0</v>
      </c>
      <c r="V23" s="133">
        <f>V10*XAUconfig!V3</f>
        <v/>
      </c>
      <c r="W23" s="133" t="n">
        <v>0</v>
      </c>
      <c r="X23" s="133">
        <f>X10*XAUconfig!X3</f>
        <v/>
      </c>
      <c r="Y23" s="133">
        <f>Y10*XAUconfig!Y3</f>
        <v/>
      </c>
      <c r="Z23" s="133">
        <f>Z10*XAUconfig!Z3</f>
        <v/>
      </c>
      <c r="AA23" s="133" t="n">
        <v>0</v>
      </c>
      <c r="AB23" s="133">
        <f>AB10*XAUconfig!AB3</f>
        <v/>
      </c>
      <c r="AC23" s="133">
        <f>AC10*XAUconfig!AC3</f>
        <v/>
      </c>
      <c r="AD23" s="133" t="n">
        <v>0</v>
      </c>
      <c r="AE23" s="133">
        <f>AE10*XAUconfig!AE3</f>
        <v/>
      </c>
      <c r="AF23" s="133">
        <f>AF10*XAUconfig!AF3</f>
        <v/>
      </c>
      <c r="AG23" s="133">
        <f>AG10*XAUconfig!AG3</f>
        <v/>
      </c>
      <c r="AH23" s="133">
        <f>AH10*XAUconfig!AH3</f>
        <v/>
      </c>
      <c r="AI23" s="133">
        <f>AI10*Inputs!B9</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t="n">
        <v>0</v>
      </c>
      <c r="C24" s="299" t="n">
        <v>0</v>
      </c>
      <c r="D24" s="299" t="n">
        <v>0</v>
      </c>
      <c r="E24" s="117" t="n">
        <v>0</v>
      </c>
      <c r="F24" s="117" t="n">
        <v>0</v>
      </c>
      <c r="G24" s="133" t="n">
        <v>0</v>
      </c>
      <c r="H24" s="133" t="n">
        <v>0</v>
      </c>
      <c r="I24" s="133" t="n">
        <v>0</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t="n">
        <v>0</v>
      </c>
      <c r="C25" s="299" t="n">
        <v>0</v>
      </c>
      <c r="D25" s="299" t="n">
        <v>0</v>
      </c>
      <c r="E25" s="117" t="n">
        <v>0</v>
      </c>
      <c r="F25" s="117" t="n">
        <v>0</v>
      </c>
      <c r="G25" s="133">
        <f>G22+G23</f>
        <v/>
      </c>
      <c r="H25" s="133">
        <f>H22+H23</f>
        <v/>
      </c>
      <c r="I25" s="133">
        <f>I22+I23</f>
        <v/>
      </c>
      <c r="J25" s="133">
        <f>J22+J23</f>
        <v/>
      </c>
      <c r="K25" s="133">
        <f>K22+K23</f>
        <v/>
      </c>
      <c r="L25" s="133">
        <f>L22+L23</f>
        <v/>
      </c>
      <c r="M25" s="133" t="n">
        <v>0</v>
      </c>
      <c r="N25" s="133">
        <f>N22+N23</f>
        <v/>
      </c>
      <c r="O25" s="133" t="n">
        <v>0</v>
      </c>
      <c r="P25" s="133" t="n">
        <v>0</v>
      </c>
      <c r="Q25" s="133">
        <f>Q22+Q23</f>
        <v/>
      </c>
      <c r="R25" s="133" t="n">
        <v>0</v>
      </c>
      <c r="S25" s="133">
        <f>S22+S23</f>
        <v/>
      </c>
      <c r="T25" s="133">
        <f>T22+T23</f>
        <v/>
      </c>
      <c r="U25" s="133" t="n">
        <v>0</v>
      </c>
      <c r="V25" s="133">
        <f>V22+V23</f>
        <v/>
      </c>
      <c r="W25" s="133" t="n">
        <v>0</v>
      </c>
      <c r="X25" s="133">
        <f>X22+X23</f>
        <v/>
      </c>
      <c r="Y25" s="133">
        <f>Y22+Y23</f>
        <v/>
      </c>
      <c r="Z25" s="133">
        <f>Z22+Z23</f>
        <v/>
      </c>
      <c r="AA25" s="133" t="n">
        <v>0</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t="n">
        <v>0</v>
      </c>
      <c r="C26" s="299" t="n">
        <v>0</v>
      </c>
      <c r="D26" s="299" t="n">
        <v>0</v>
      </c>
      <c r="E26" s="117" t="n">
        <v>0</v>
      </c>
      <c r="F26" s="117" t="n">
        <v>0</v>
      </c>
      <c r="G26" s="133">
        <f>G15*XAUconfig!G3</f>
        <v/>
      </c>
      <c r="H26" s="133">
        <f>H15*XAUconfig!H3</f>
        <v/>
      </c>
      <c r="I26" s="133">
        <f>I15*XAUconfig!I3</f>
        <v/>
      </c>
      <c r="J26" s="133">
        <f>J15*XAUconfig!J3</f>
        <v/>
      </c>
      <c r="K26" s="133">
        <f>K15*XAUconfig!K3</f>
        <v/>
      </c>
      <c r="L26" s="133">
        <f>L15*XAUconfig!L3</f>
        <v/>
      </c>
      <c r="M26" s="133" t="n">
        <v>0</v>
      </c>
      <c r="N26" s="133">
        <f>N15*XAUconfig!N3</f>
        <v/>
      </c>
      <c r="O26" s="133" t="n">
        <v>0</v>
      </c>
      <c r="P26" s="133" t="n">
        <v>0</v>
      </c>
      <c r="Q26" s="133">
        <f>Q15*XAUconfig!Q3</f>
        <v/>
      </c>
      <c r="R26" s="133" t="n">
        <v>0</v>
      </c>
      <c r="S26" s="133">
        <f>S15*XAUconfig!S3</f>
        <v/>
      </c>
      <c r="T26" s="133">
        <f>T15*XAUconfig!T3</f>
        <v/>
      </c>
      <c r="U26" s="133" t="n">
        <v>0</v>
      </c>
      <c r="V26" s="133">
        <f>V15*XAUconfig!V3</f>
        <v/>
      </c>
      <c r="W26" s="133" t="n">
        <v>0</v>
      </c>
      <c r="X26" s="133">
        <f>X15*XAUconfig!X3</f>
        <v/>
      </c>
      <c r="Y26" s="133">
        <f>Y15*XAUconfig!Y3</f>
        <v/>
      </c>
      <c r="Z26" s="133">
        <f>Z15*XAUconfig!Z3</f>
        <v/>
      </c>
      <c r="AA26" s="133" t="n">
        <v>0</v>
      </c>
      <c r="AB26" s="133">
        <f>AB15*XAUconfig!AB3</f>
        <v/>
      </c>
      <c r="AC26" s="133">
        <f>AC15*XAUconfig!AC3</f>
        <v/>
      </c>
      <c r="AD26" s="133" t="n">
        <v>0</v>
      </c>
      <c r="AE26" s="133">
        <f>AE15*XAUconfig!AE3</f>
        <v/>
      </c>
      <c r="AF26" s="133">
        <f>AF15*XAUconfig!AF3</f>
        <v/>
      </c>
      <c r="AG26" s="133">
        <f>AG15*XAUconfig!AG3</f>
        <v/>
      </c>
      <c r="AH26" s="133">
        <f>AH15*XAUconfig!AH3</f>
        <v/>
      </c>
      <c r="AI26" s="133">
        <f>AI15*Inputs!B9</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t="n">
        <v>0</v>
      </c>
      <c r="C27" s="136" t="n">
        <v>0</v>
      </c>
      <c r="D27" s="136" t="n">
        <v>0</v>
      </c>
      <c r="E27" s="137" t="n">
        <v>0</v>
      </c>
      <c r="F27" s="137" t="n">
        <v>0</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t="n">
        <v>0</v>
      </c>
      <c r="P27" s="139" t="n">
        <v>0</v>
      </c>
      <c r="Q27" s="139">
        <f>Q16*XAUconfig!Q3</f>
        <v/>
      </c>
      <c r="R27" s="139" t="n">
        <v>0</v>
      </c>
      <c r="S27" s="139">
        <f>S16*XAUconfig!S3</f>
        <v/>
      </c>
      <c r="T27" s="139">
        <f>T16*XAUconfig!T3</f>
        <v/>
      </c>
      <c r="U27" s="139" t="n">
        <v>0</v>
      </c>
      <c r="V27" s="139">
        <f>V16*XAUconfig!V3</f>
        <v/>
      </c>
      <c r="W27" s="139" t="n">
        <v>0</v>
      </c>
      <c r="X27" s="139">
        <f>X16*XAUconfig!X3</f>
        <v/>
      </c>
      <c r="Y27" s="139">
        <f>Y16*XAUconfig!Y3</f>
        <v/>
      </c>
      <c r="Z27" s="139">
        <f>Z16*XAUconfig!Z3</f>
        <v/>
      </c>
      <c r="AA27" s="139" t="n">
        <v>0</v>
      </c>
      <c r="AB27" s="139">
        <f>AB16*XAUconfig!AB3</f>
        <v/>
      </c>
      <c r="AC27" s="139">
        <f>AC16*XAUconfig!AC3</f>
        <v/>
      </c>
      <c r="AD27" s="139" t="n">
        <v>0</v>
      </c>
      <c r="AE27" s="139">
        <f>AE16*XAUconfig!AE3</f>
        <v/>
      </c>
      <c r="AF27" s="139">
        <f>AF16*XAUconfig!AF3</f>
        <v/>
      </c>
      <c r="AG27" s="139">
        <f>AG16*XAUconfig!AG3</f>
        <v/>
      </c>
      <c r="AH27" s="139">
        <f>AH16*XAUconfig!AH3</f>
        <v/>
      </c>
      <c r="AI27" s="139">
        <f>AI16*Inputs!B9</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t="n">
        <v>0</v>
      </c>
      <c r="C30" s="123" t="n">
        <v>0</v>
      </c>
      <c r="D30" s="123" t="n">
        <v>0</v>
      </c>
      <c r="E30" s="100" t="n">
        <v>0</v>
      </c>
      <c r="F30" s="100" t="n">
        <v>0</v>
      </c>
      <c r="G30" s="100">
        <f>sum(B4:G4)</f>
        <v/>
      </c>
      <c r="H30" s="100">
        <f>sum(B4:H4)</f>
        <v/>
      </c>
      <c r="I30" s="100">
        <f>sum(C4:I4)</f>
        <v/>
      </c>
      <c r="J30" s="100">
        <f>sum(D4:J4)</f>
        <v/>
      </c>
      <c r="K30" s="100">
        <f>sum(E4:K4)</f>
        <v/>
      </c>
      <c r="L30" s="100">
        <f>sum(F4:L4)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t="n">
        <v>0</v>
      </c>
      <c r="C31" s="123" t="n">
        <v>0</v>
      </c>
      <c r="D31" s="123" t="n">
        <v>0</v>
      </c>
      <c r="E31" s="100" t="n">
        <v>0</v>
      </c>
      <c r="F31" s="100" t="n">
        <v>0</v>
      </c>
      <c r="G31" s="100">
        <f>sum(B5:G5)</f>
        <v/>
      </c>
      <c r="H31" s="100">
        <f>sum(B5:H5)</f>
        <v/>
      </c>
      <c r="I31" s="100">
        <f>sum(B5:I5)</f>
        <v/>
      </c>
      <c r="J31" s="100">
        <f>sum(B5:J5)</f>
        <v/>
      </c>
      <c r="K31" s="100">
        <f>sum(B5:K5)</f>
        <v/>
      </c>
      <c r="L31" s="100">
        <f>sum(B5:L5)</f>
        <v/>
      </c>
      <c r="M31" s="100">
        <f>sum(B5:M5)</f>
        <v/>
      </c>
      <c r="N31" s="100">
        <f>sum(M31,N5)</f>
        <v/>
      </c>
      <c r="O31" s="100">
        <f>sum(N31,O5)</f>
        <v/>
      </c>
      <c r="P31" s="100">
        <f>sum(O31,P5)</f>
        <v/>
      </c>
      <c r="Q31" s="100">
        <f>sum(P31,Q5)</f>
        <v/>
      </c>
      <c r="R31" s="100">
        <f>sum(Q31,R5)</f>
        <v/>
      </c>
      <c r="S31" s="100">
        <f>sum(R31,S5)</f>
        <v/>
      </c>
      <c r="T31" s="100">
        <f>sum(S31,T5)</f>
        <v/>
      </c>
      <c r="U31" s="100">
        <f>sum(T31,U5)</f>
        <v/>
      </c>
      <c r="V31" s="100">
        <f>sum(U31,V5)</f>
        <v/>
      </c>
      <c r="W31" s="100">
        <f>sum(V31,W5)</f>
        <v/>
      </c>
      <c r="X31" s="100">
        <f>sum(W31,X5)</f>
        <v/>
      </c>
      <c r="Y31" s="100">
        <f>sum(X31,Y5)</f>
        <v/>
      </c>
      <c r="Z31" s="100">
        <f>sum(Y31,Z5)</f>
        <v/>
      </c>
      <c r="AA31" s="100">
        <f>sum(Z31,AA5)</f>
        <v/>
      </c>
      <c r="AB31" s="100">
        <f>sum(AA31,AB5)</f>
        <v/>
      </c>
      <c r="AC31" s="100">
        <f>sum(AB31,AC5)</f>
        <v/>
      </c>
      <c r="AD31" s="100">
        <f>sum(AC31,AD5)</f>
        <v/>
      </c>
      <c r="AE31" s="100">
        <f>sum(AD31,AE5)</f>
        <v/>
      </c>
      <c r="AF31" s="100">
        <f>sum(AE31,AF5)</f>
        <v/>
      </c>
      <c r="AG31" s="100">
        <f>sum(AF31,AG5)</f>
        <v/>
      </c>
      <c r="AH31" s="100">
        <f>sum(AG31,AH5)</f>
        <v/>
      </c>
      <c r="AI31" s="100">
        <f>sum(AH31,AI5)</f>
        <v/>
      </c>
      <c r="AJ31" s="100">
        <f>sum(AI31,AJ5)</f>
        <v/>
      </c>
      <c r="AK31" s="100">
        <f>sum(AJ31,AK5)</f>
        <v/>
      </c>
      <c r="AL31" s="100">
        <f>sum(AK31,AL5)</f>
        <v/>
      </c>
      <c r="AM31" s="100">
        <f>sum(AL31,AM5)</f>
        <v/>
      </c>
      <c r="AN31" s="100">
        <f>sum(AM31,AN5)</f>
        <v/>
      </c>
      <c r="AO31" s="100">
        <f>sum(AN31,AO5)</f>
        <v/>
      </c>
      <c r="AP31" s="100">
        <f>sum(AO31,AP5)</f>
        <v/>
      </c>
      <c r="AQ31" s="100">
        <f>sum(AP31,AQ5)</f>
        <v/>
      </c>
      <c r="AR31" s="100">
        <f>sum(AQ31,AR5)</f>
        <v/>
      </c>
      <c r="AS31" s="100">
        <f>sum(AR31,AS5)</f>
        <v/>
      </c>
      <c r="AT31" s="100">
        <f>sum(AS31,AT5)</f>
        <v/>
      </c>
      <c r="AU31" s="100">
        <f>sum(AT31,AU5)</f>
        <v/>
      </c>
      <c r="AV31" s="100">
        <f>sum(AU31,AV5)</f>
        <v/>
      </c>
      <c r="AW31" s="100">
        <f>sum(AV31,AW5)</f>
        <v/>
      </c>
      <c r="AX31" s="100">
        <f>sum(AW31,AX5)</f>
        <v/>
      </c>
      <c r="AY31" s="100">
        <f>sum(AX31,AY5)</f>
        <v/>
      </c>
      <c r="AZ31" s="100">
        <f>sum(AY31,AZ5)</f>
        <v/>
      </c>
      <c r="BA31" s="100">
        <f>sum(AZ31,BA5)</f>
        <v/>
      </c>
      <c r="BB31" s="100">
        <f>sum(BA31,BB5)</f>
        <v/>
      </c>
      <c r="BC31" s="100">
        <f>sum(BB31,BC5)</f>
        <v/>
      </c>
      <c r="BD31" s="100">
        <f>sum(BC31,BD5)</f>
        <v/>
      </c>
      <c r="BE31" s="100">
        <f>sum(BD31,BE5)</f>
        <v/>
      </c>
      <c r="BF31" s="100">
        <f>sum(BE31,BF5)</f>
        <v/>
      </c>
      <c r="BG31" s="100">
        <f>sum(BF31,BG5)</f>
        <v/>
      </c>
      <c r="BH31" s="100">
        <f>sum(BG31,BH5)</f>
        <v/>
      </c>
      <c r="BI31" s="154">
        <f>sum(BH31,BI5)</f>
        <v/>
      </c>
    </row>
    <row r="32">
      <c r="A32" s="38" t="inlineStr">
        <is>
          <t>Cumulative Releaseable Resources (oz)</t>
        </is>
      </c>
      <c r="B32" s="123" t="n">
        <v>0</v>
      </c>
      <c r="C32" s="123" t="n">
        <v>0</v>
      </c>
      <c r="D32" s="123" t="n">
        <v>0</v>
      </c>
      <c r="E32" s="100" t="n">
        <v>0</v>
      </c>
      <c r="F32" s="100" t="n">
        <v>0</v>
      </c>
      <c r="G32" s="100">
        <f>sum(B6:G6)/2</f>
        <v/>
      </c>
      <c r="H32" s="100">
        <f>sum(B6:H6)/2</f>
        <v/>
      </c>
      <c r="I32" s="100">
        <f>sum(B6:I6)/2</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t="n">
        <v>0</v>
      </c>
      <c r="C33" s="299" t="n">
        <v>0</v>
      </c>
      <c r="D33" s="299" t="n">
        <v>0</v>
      </c>
      <c r="E33" s="117" t="n">
        <v>0</v>
      </c>
      <c r="F33" s="117" t="n">
        <v>0</v>
      </c>
      <c r="G33" s="146">
        <f>sum(G7:G8)/2</f>
        <v/>
      </c>
      <c r="H33" s="146">
        <f>sum(G7:H8)/2</f>
        <v/>
      </c>
      <c r="I33" s="146">
        <f>sum(G7:I8)/2</f>
        <v/>
      </c>
      <c r="J33" s="146">
        <f>sum(G7:J8)/2</f>
        <v/>
      </c>
      <c r="K33" s="146">
        <f>sum(G7:K8)</f>
        <v/>
      </c>
      <c r="L33" s="146">
        <f>sum(G7:L8)</f>
        <v/>
      </c>
      <c r="M33" s="146">
        <f>sum(G7:M8)</f>
        <v/>
      </c>
      <c r="N33" s="146">
        <f>sum(G7:N8)</f>
        <v/>
      </c>
      <c r="O33" s="146">
        <f>sum(G7:O8)</f>
        <v/>
      </c>
      <c r="P33" s="146">
        <f>sum(G7:P8)</f>
        <v/>
      </c>
      <c r="Q33" s="146">
        <f>sum(G7:Q8)</f>
        <v/>
      </c>
      <c r="R33" s="146">
        <f>sum(G7:R8)</f>
        <v/>
      </c>
      <c r="S33" s="146">
        <f>sum(G7:S8)</f>
        <v/>
      </c>
      <c r="T33" s="146">
        <f>sum(B7:T8)</f>
        <v/>
      </c>
      <c r="U33" s="146">
        <f>sum(G7:U8)</f>
        <v/>
      </c>
      <c r="V33" s="146">
        <f>sum(G7:V8)</f>
        <v/>
      </c>
      <c r="W33" s="146">
        <f>sum(G7:W8)</f>
        <v/>
      </c>
      <c r="X33" s="146">
        <f>sum(G7:X8)</f>
        <v/>
      </c>
      <c r="Y33" s="146">
        <f>sum(G7:Y8)</f>
        <v/>
      </c>
      <c r="Z33" s="146">
        <f>sum(G7:Z8)</f>
        <v/>
      </c>
      <c r="AA33" s="146">
        <f>sum(G7:AA8)</f>
        <v/>
      </c>
      <c r="AB33" s="146">
        <f>sum(G7:AB8)</f>
        <v/>
      </c>
      <c r="AC33" s="146">
        <f>sum(G7:AC8)</f>
        <v/>
      </c>
      <c r="AD33" s="146">
        <f>sum(G7:AD8)</f>
        <v/>
      </c>
      <c r="AE33" s="146">
        <f>sum(G7:AE8)</f>
        <v/>
      </c>
      <c r="AF33" s="146">
        <f>sum(G7:AF8)</f>
        <v/>
      </c>
      <c r="AG33" s="146">
        <f>sum(G7:AG8)</f>
        <v/>
      </c>
      <c r="AH33" s="146">
        <f>sum(G7:AH8)</f>
        <v/>
      </c>
      <c r="AI33" s="146">
        <f>sum(G7:AI8)</f>
        <v/>
      </c>
      <c r="AJ33" s="146">
        <f>sum(G7:AJ8)</f>
        <v/>
      </c>
      <c r="AK33" s="146">
        <f>sum(G7:AK8)</f>
        <v/>
      </c>
      <c r="AL33" s="146">
        <f>sum(G7:AL8)</f>
        <v/>
      </c>
      <c r="AM33" s="146">
        <f>sum(G7:AM8)</f>
        <v/>
      </c>
      <c r="AN33" s="146">
        <f>sum(G7:AN8)</f>
        <v/>
      </c>
      <c r="AO33" s="146">
        <f>sum(G7:AO8)</f>
        <v/>
      </c>
      <c r="AP33" s="146">
        <f>sum(G7:AP8)</f>
        <v/>
      </c>
      <c r="AQ33" s="146">
        <f>sum(G7:AQ8)</f>
        <v/>
      </c>
      <c r="AR33" s="146">
        <f>sum(G7:AR8)</f>
        <v/>
      </c>
      <c r="AS33" s="146">
        <f>sum(G7:AS8)</f>
        <v/>
      </c>
      <c r="AT33" s="146">
        <f>sum(G7:AT8)</f>
        <v/>
      </c>
      <c r="AU33" s="146">
        <f>sum(G7:AU8)</f>
        <v/>
      </c>
      <c r="AV33" s="146">
        <f>sum(G7:AV8)</f>
        <v/>
      </c>
      <c r="AW33" s="146">
        <f>sum(G7:AW8)</f>
        <v/>
      </c>
      <c r="AX33" s="146">
        <f>sum(G7:AX8)</f>
        <v/>
      </c>
      <c r="AY33" s="146">
        <f>sum(G7:AY8)</f>
        <v/>
      </c>
      <c r="AZ33" s="146">
        <f>sum(G7:AZ8)</f>
        <v/>
      </c>
      <c r="BA33" s="146">
        <f>sum(G7:BA8)</f>
        <v/>
      </c>
      <c r="BB33" s="146">
        <f>sum(G7:BB8)</f>
        <v/>
      </c>
      <c r="BC33" s="146">
        <f>sum(G7:BC8)</f>
        <v/>
      </c>
      <c r="BD33" s="146">
        <f>sum(G7:BD8)</f>
        <v/>
      </c>
      <c r="BE33" s="146">
        <f>sum(G7:BE8)</f>
        <v/>
      </c>
      <c r="BF33" s="146">
        <f>sum(G7:BF8)</f>
        <v/>
      </c>
      <c r="BG33" s="146">
        <f>sum(G7:BG8)</f>
        <v/>
      </c>
      <c r="BH33" s="146">
        <f>sum(G7:BH8)</f>
        <v/>
      </c>
      <c r="BI33" s="147">
        <f>sum(G7:BI8)</f>
        <v/>
      </c>
    </row>
    <row r="34">
      <c r="A34" s="38" t="inlineStr">
        <is>
          <t>Cumulative Allocation to RealGold Treasury (oz)</t>
        </is>
      </c>
      <c r="B34" s="299" t="n">
        <v>0</v>
      </c>
      <c r="C34" s="299" t="n">
        <v>0</v>
      </c>
      <c r="D34" s="299" t="n">
        <v>0</v>
      </c>
      <c r="E34" s="117" t="n">
        <v>0</v>
      </c>
      <c r="F34" s="117" t="n">
        <v>0</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t="n">
        <v>0</v>
      </c>
      <c r="C36" s="299" t="n">
        <v>0</v>
      </c>
      <c r="D36" s="299" t="n">
        <v>0</v>
      </c>
      <c r="E36" s="117" t="n">
        <v>0</v>
      </c>
      <c r="F36" s="117" t="n">
        <v>0</v>
      </c>
      <c r="G36" s="133">
        <f>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t="n">
        <v>0</v>
      </c>
      <c r="C37" s="299" t="n">
        <v>0</v>
      </c>
      <c r="D37" s="299" t="n">
        <v>0</v>
      </c>
      <c r="E37" s="117" t="n">
        <v>0</v>
      </c>
      <c r="F37" s="117" t="n">
        <v>0</v>
      </c>
      <c r="G37" s="133">
        <f>sum(B19:G19)</f>
        <v/>
      </c>
      <c r="H37" s="133">
        <f>sum(C19:H19)</f>
        <v/>
      </c>
      <c r="I37" s="133">
        <f>sum(D19:I19)</f>
        <v/>
      </c>
      <c r="J37" s="133">
        <f>sum(E19:J19)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t="n">
        <v>0</v>
      </c>
      <c r="C38" s="299" t="n">
        <v>0</v>
      </c>
      <c r="D38" s="299" t="n">
        <v>0</v>
      </c>
      <c r="E38" s="117" t="n">
        <v>0</v>
      </c>
      <c r="F38" s="117" t="n">
        <v>0</v>
      </c>
      <c r="G38" s="133">
        <f>sum(B20:G20)</f>
        <v/>
      </c>
      <c r="H38" s="133">
        <f>sum(C20:H20)</f>
        <v/>
      </c>
      <c r="I38" s="133">
        <f>sum(D20:I20)</f>
        <v/>
      </c>
      <c r="J38" s="133">
        <f>sum(E20:J20)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t="n">
        <v>0</v>
      </c>
      <c r="C39" s="299" t="n">
        <v>0</v>
      </c>
      <c r="D39" s="299" t="n">
        <v>0</v>
      </c>
      <c r="E39" s="117" t="n">
        <v>0</v>
      </c>
      <c r="F39" s="117" t="n">
        <v>0</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AF33*Inputs!B9</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t="n">
        <v>0</v>
      </c>
      <c r="C40" s="136" t="n">
        <v>0</v>
      </c>
      <c r="D40" s="136" t="n">
        <v>0</v>
      </c>
      <c r="E40" s="137" t="n">
        <v>0</v>
      </c>
      <c r="F40" s="137" t="n">
        <v>0</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row>
    <row r="43">
      <c r="A43" s="38" t="inlineStr">
        <is>
          <t># of mines brought online</t>
        </is>
      </c>
      <c r="G43" s="117">
        <f>sum(B3:M3)</f>
        <v/>
      </c>
      <c r="H43" s="117">
        <f>sum(N3:Y3)</f>
        <v/>
      </c>
      <c r="I43" s="117">
        <f>sum(Z3:AK3)</f>
        <v/>
      </c>
      <c r="J43" s="117">
        <f>sum(AL3:AW3)</f>
        <v/>
      </c>
      <c r="K43" s="117">
        <f>sum(AV3:BI3)</f>
        <v/>
      </c>
      <c r="L43" s="106">
        <f>SUM(G43:K43)</f>
        <v/>
      </c>
      <c r="M43" s="153" t="n"/>
    </row>
    <row r="44">
      <c r="A44" s="38" t="inlineStr">
        <is>
          <t>Assayed Resources ($)</t>
        </is>
      </c>
      <c r="G44" s="133">
        <f>sum(B18:M18)</f>
        <v/>
      </c>
      <c r="H44" s="133">
        <f>sum(N18:Y18)</f>
        <v/>
      </c>
      <c r="I44" s="133">
        <f>sum(Z18:AK18)</f>
        <v/>
      </c>
      <c r="J44" s="133">
        <f>sum(AL18:AW18)</f>
        <v/>
      </c>
      <c r="K44" s="133">
        <f>sum(AV18:BI18)</f>
        <v/>
      </c>
      <c r="L44" s="135">
        <f>SUM(G44:K44)</f>
        <v/>
      </c>
    </row>
    <row r="45">
      <c r="A45" s="38" t="inlineStr">
        <is>
          <t>Authorized Resources ($)</t>
        </is>
      </c>
      <c r="G45" s="133">
        <f>sum(B19:M19)</f>
        <v/>
      </c>
      <c r="H45" s="133">
        <f>sum(N19:Y19)</f>
        <v/>
      </c>
      <c r="I45" s="133">
        <f>sum(Z19:AK19)</f>
        <v/>
      </c>
      <c r="J45" s="133">
        <f>sum(AL19:AW19)</f>
        <v/>
      </c>
      <c r="K45" s="133">
        <f>sum(AV19:BI19)</f>
        <v/>
      </c>
      <c r="L45" s="135">
        <f>SUM(G45:K45)</f>
        <v/>
      </c>
      <c r="M45" s="191" t="n"/>
    </row>
    <row r="46">
      <c r="A46" s="38" t="inlineStr">
        <is>
          <t>Releasable Resources ($)</t>
        </is>
      </c>
      <c r="G46" s="133">
        <f>sum(B20:M20)</f>
        <v/>
      </c>
      <c r="H46" s="133">
        <f>sum(N20:Y20)</f>
        <v/>
      </c>
      <c r="I46" s="133">
        <f>sum(Z20:AK20)</f>
        <v/>
      </c>
      <c r="J46" s="133">
        <f>sum(AL20:AW20)</f>
        <v/>
      </c>
      <c r="K46" s="133">
        <f>sum(AV20:BI20)</f>
        <v/>
      </c>
      <c r="L46" s="135">
        <f>SUM(G46:K46)</f>
        <v/>
      </c>
    </row>
    <row r="47">
      <c r="A47" s="38" t="inlineStr">
        <is>
          <t>Released Resources ($)</t>
        </is>
      </c>
      <c r="G47" s="133">
        <f>sum(B21:M21)</f>
        <v/>
      </c>
      <c r="H47" s="133">
        <f>sum(N21:Y21)</f>
        <v/>
      </c>
      <c r="I47" s="133">
        <f>sum(Z21:AK21)</f>
        <v/>
      </c>
      <c r="J47" s="133">
        <f>sum(AL21:AW21)</f>
        <v/>
      </c>
      <c r="K47" s="133">
        <f>sum(AV21:BI21)</f>
        <v/>
      </c>
      <c r="L47" s="135">
        <f>SUM(G47:K47)</f>
        <v/>
      </c>
    </row>
    <row r="48">
      <c r="A48" s="38" t="inlineStr">
        <is>
          <t>Registration Fees ($)</t>
        </is>
      </c>
      <c r="G48" s="133">
        <f>sum(B22:M22)</f>
        <v/>
      </c>
      <c r="H48" s="133">
        <f>sum(N22:Y22)</f>
        <v/>
      </c>
      <c r="I48" s="133">
        <f>sum(Z22:AK22)</f>
        <v/>
      </c>
      <c r="J48" s="133">
        <f>sum(AL22:AW22)</f>
        <v/>
      </c>
      <c r="K48" s="133">
        <f>sum(AV22:BI22)</f>
        <v/>
      </c>
      <c r="L48" s="135">
        <f>SUM(G48:K48)</f>
        <v/>
      </c>
    </row>
    <row r="49">
      <c r="A49" s="38" t="inlineStr">
        <is>
          <t>Market Placement Fee ($)</t>
        </is>
      </c>
      <c r="G49" s="133">
        <f>sum(B23:M23)</f>
        <v/>
      </c>
      <c r="H49" s="133">
        <f>sum(N23:Y23)</f>
        <v/>
      </c>
      <c r="I49" s="133">
        <f>sum(Z23:AK23)</f>
        <v/>
      </c>
      <c r="J49" s="133">
        <f>sum(AL23:AW23)</f>
        <v/>
      </c>
      <c r="K49" s="133">
        <f>sum(AV23:BI23)</f>
        <v/>
      </c>
      <c r="L49" s="135">
        <f>SUM(G49:K49)</f>
        <v/>
      </c>
    </row>
    <row r="50">
      <c r="A50" s="38" t="inlineStr">
        <is>
          <t>Total Fee Revenue ($)</t>
        </is>
      </c>
      <c r="G50" s="133">
        <f>sum(B25:M25)</f>
        <v/>
      </c>
      <c r="H50" s="133">
        <f>sum(N25:Y25)</f>
        <v/>
      </c>
      <c r="I50" s="133">
        <f>sum(Z25:AK25)</f>
        <v/>
      </c>
      <c r="J50" s="133">
        <f>sum(AL25:AW25)</f>
        <v/>
      </c>
      <c r="K50" s="133">
        <f>sum(AV25:BI25)</f>
        <v/>
      </c>
      <c r="L50" s="135">
        <f>SUM(G50:K50)</f>
        <v/>
      </c>
    </row>
    <row r="51">
      <c r="A51" s="38" t="inlineStr">
        <is>
          <t>Total Allocation to 1031 ($)</t>
        </is>
      </c>
      <c r="G51" s="133">
        <f>sum(B26:M26)</f>
        <v/>
      </c>
      <c r="H51" s="133">
        <f>sum(N26:Y26)</f>
        <v/>
      </c>
      <c r="I51" s="133">
        <f>sum(Z26:AK26)</f>
        <v/>
      </c>
      <c r="J51" s="133">
        <f>sum(AL26:AW26)</f>
        <v/>
      </c>
      <c r="K51" s="133">
        <f>sum(AV26:BI26)</f>
        <v/>
      </c>
      <c r="L51" s="135">
        <f>SUM(G51:K51)</f>
        <v/>
      </c>
    </row>
    <row r="52">
      <c r="A52" s="38" t="inlineStr">
        <is>
          <t>Total Allocation to RealGold Treasury ($)</t>
        </is>
      </c>
      <c r="G52" s="133">
        <f>sum(B27:M27)</f>
        <v/>
      </c>
      <c r="H52" s="133">
        <f>sum(N27:Y27)</f>
        <v/>
      </c>
      <c r="I52" s="133">
        <f>sum(Z27:AK27)</f>
        <v/>
      </c>
      <c r="J52" s="133">
        <f>sum(AL27:AW27)</f>
        <v/>
      </c>
      <c r="K52" s="133">
        <f>sum(AV27:BI27)</f>
        <v/>
      </c>
      <c r="L52" s="135">
        <f>SUM(G52:K52)</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t="inlineStr">
        <is>
          <t>Jan '25</t>
        </is>
      </c>
      <c r="C1" s="51" t="inlineStr">
        <is>
          <t>Feb '25</t>
        </is>
      </c>
      <c r="D1" s="51" t="inlineStr">
        <is>
          <t>Mar '25</t>
        </is>
      </c>
      <c r="E1" s="51" t="inlineStr">
        <is>
          <t>Apr '25</t>
        </is>
      </c>
      <c r="F1" s="51" t="inlineStr">
        <is>
          <t>May '25</t>
        </is>
      </c>
      <c r="G1" s="51" t="inlineStr">
        <is>
          <t>Jun '25</t>
        </is>
      </c>
      <c r="H1" s="51" t="inlineStr">
        <is>
          <t>Jul '25</t>
        </is>
      </c>
      <c r="I1" s="51" t="inlineStr">
        <is>
          <t>Aug '25</t>
        </is>
      </c>
      <c r="J1" s="51" t="inlineStr">
        <is>
          <t>Sep '25</t>
        </is>
      </c>
      <c r="K1" s="51" t="inlineStr">
        <is>
          <t>Oct '25</t>
        </is>
      </c>
      <c r="L1" s="51" t="inlineStr">
        <is>
          <t>Nov '25</t>
        </is>
      </c>
      <c r="M1" s="51" t="inlineStr">
        <is>
          <t>Dec '25</t>
        </is>
      </c>
      <c r="N1" s="51" t="inlineStr">
        <is>
          <t>Jan '26</t>
        </is>
      </c>
      <c r="O1" s="51" t="inlineStr">
        <is>
          <t>Feb '26</t>
        </is>
      </c>
      <c r="P1" s="51" t="inlineStr">
        <is>
          <t>Mar '26</t>
        </is>
      </c>
      <c r="Q1" s="51" t="inlineStr">
        <is>
          <t>Apr '26</t>
        </is>
      </c>
      <c r="R1" s="51" t="inlineStr">
        <is>
          <t>May '26</t>
        </is>
      </c>
      <c r="S1" s="51" t="inlineStr">
        <is>
          <t>Jun '26</t>
        </is>
      </c>
      <c r="T1" s="51" t="inlineStr">
        <is>
          <t>Jul '26</t>
        </is>
      </c>
      <c r="U1" s="51" t="inlineStr">
        <is>
          <t>Aug '26</t>
        </is>
      </c>
      <c r="V1" s="51" t="inlineStr">
        <is>
          <t>Sep '26</t>
        </is>
      </c>
      <c r="W1" s="51" t="inlineStr">
        <is>
          <t>Oct '26</t>
        </is>
      </c>
      <c r="X1" s="51" t="inlineStr">
        <is>
          <t>Nov '26</t>
        </is>
      </c>
      <c r="Y1" s="51" t="inlineStr">
        <is>
          <t>Dec '26</t>
        </is>
      </c>
      <c r="Z1" s="51" t="inlineStr">
        <is>
          <t>Jan '27</t>
        </is>
      </c>
      <c r="AA1" s="51" t="inlineStr">
        <is>
          <t>Feb '27</t>
        </is>
      </c>
      <c r="AB1" s="51" t="inlineStr">
        <is>
          <t>Mar '27</t>
        </is>
      </c>
      <c r="AC1" s="51" t="inlineStr">
        <is>
          <t>Apr '27</t>
        </is>
      </c>
      <c r="AD1" s="51" t="inlineStr">
        <is>
          <t>May '27</t>
        </is>
      </c>
      <c r="AE1" s="51" t="inlineStr">
        <is>
          <t>Jun '27</t>
        </is>
      </c>
      <c r="AF1" s="51" t="inlineStr">
        <is>
          <t>Jul '27</t>
        </is>
      </c>
      <c r="AG1" s="51" t="inlineStr">
        <is>
          <t>Aug '27</t>
        </is>
      </c>
      <c r="AH1" s="51" t="inlineStr">
        <is>
          <t>Sep '27</t>
        </is>
      </c>
      <c r="AI1" s="51" t="inlineStr">
        <is>
          <t>Oct '27</t>
        </is>
      </c>
      <c r="AJ1" s="51" t="inlineStr">
        <is>
          <t>Nov '27</t>
        </is>
      </c>
      <c r="AK1" s="51" t="inlineStr">
        <is>
          <t>Dec '27</t>
        </is>
      </c>
      <c r="AL1" s="51" t="inlineStr">
        <is>
          <t>Jan '28</t>
        </is>
      </c>
      <c r="AM1" s="51" t="inlineStr">
        <is>
          <t>Feb '28</t>
        </is>
      </c>
      <c r="AN1" s="51" t="inlineStr">
        <is>
          <t>Mar '28</t>
        </is>
      </c>
      <c r="AO1" s="51" t="inlineStr">
        <is>
          <t>Apr '28</t>
        </is>
      </c>
      <c r="AP1" s="51" t="inlineStr">
        <is>
          <t>May '28</t>
        </is>
      </c>
      <c r="AQ1" s="51" t="inlineStr">
        <is>
          <t>Jun '28</t>
        </is>
      </c>
      <c r="AR1" s="51" t="inlineStr">
        <is>
          <t>Jul '28</t>
        </is>
      </c>
      <c r="AS1" s="51" t="inlineStr">
        <is>
          <t>Aug '28</t>
        </is>
      </c>
      <c r="AT1" s="51" t="inlineStr">
        <is>
          <t>Sep '28</t>
        </is>
      </c>
      <c r="AU1" s="51" t="inlineStr">
        <is>
          <t>Oct '28</t>
        </is>
      </c>
      <c r="AV1" s="51" t="inlineStr">
        <is>
          <t>Nov '28</t>
        </is>
      </c>
      <c r="AW1" s="51" t="inlineStr">
        <is>
          <t>Dec '28</t>
        </is>
      </c>
      <c r="AX1" s="51" t="inlineStr">
        <is>
          <t>Jan '29</t>
        </is>
      </c>
      <c r="AY1" s="51" t="inlineStr">
        <is>
          <t>Feb '29</t>
        </is>
      </c>
      <c r="AZ1" s="51" t="inlineStr">
        <is>
          <t>Mar '29</t>
        </is>
      </c>
      <c r="BA1" s="51" t="inlineStr">
        <is>
          <t>Apr '29</t>
        </is>
      </c>
      <c r="BB1" s="51" t="inlineStr">
        <is>
          <t>May '29</t>
        </is>
      </c>
      <c r="BC1" s="51" t="inlineStr">
        <is>
          <t>Jun '29</t>
        </is>
      </c>
      <c r="BD1" s="51" t="inlineStr">
        <is>
          <t>Jul '29</t>
        </is>
      </c>
      <c r="BE1" s="51" t="inlineStr">
        <is>
          <t>Aug '29</t>
        </is>
      </c>
      <c r="BF1" s="51" t="inlineStr">
        <is>
          <t>Sep '29</t>
        </is>
      </c>
      <c r="BG1" s="51" t="inlineStr">
        <is>
          <t>Oct '29</t>
        </is>
      </c>
      <c r="BH1" s="51" t="inlineStr">
        <is>
          <t>Nov '29</t>
        </is>
      </c>
      <c r="BI1" s="119" t="inlineStr">
        <is>
          <t>Dec '29</t>
        </is>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t="n">
        <v>0</v>
      </c>
      <c r="C3" s="117" t="n">
        <v>0</v>
      </c>
      <c r="D3" s="117" t="n">
        <v>0</v>
      </c>
      <c r="E3" s="117" t="n">
        <v>0</v>
      </c>
      <c r="F3" s="117" t="n">
        <v>0</v>
      </c>
      <c r="G3" s="100">
        <f>'Resource Supply (5yr)'!G14</f>
        <v/>
      </c>
      <c r="H3" s="100">
        <f>'Resource Supply (5yr)'!H14</f>
        <v/>
      </c>
      <c r="I3" s="100" t="n">
        <v>0</v>
      </c>
      <c r="J3" s="87">
        <f>'Resource Supply (5yr)'!J11</f>
        <v/>
      </c>
      <c r="K3" s="100" t="n">
        <v>0</v>
      </c>
      <c r="L3" s="87">
        <f>'Resource Supply (5yr)'!L11</f>
        <v/>
      </c>
      <c r="M3" s="100">
        <f>'Resource Supply (5yr)'!M14</f>
        <v/>
      </c>
      <c r="N3" s="87">
        <f>'Resource Supply (5yr)'!N14</f>
        <v/>
      </c>
      <c r="O3" s="87">
        <f>'Resource Supply (5yr)'!O14</f>
        <v/>
      </c>
      <c r="P3" s="87">
        <f>'Resource Supply (5yr)'!P14</f>
        <v/>
      </c>
      <c r="Q3" s="87">
        <f>'Resource Supply (5yr)'!Q14</f>
        <v/>
      </c>
      <c r="R3" s="87">
        <f>'Resource Supply (5yr)'!R14</f>
        <v/>
      </c>
      <c r="S3" s="87">
        <f>'Resource Supply (5yr)'!S14</f>
        <v/>
      </c>
      <c r="T3" s="87">
        <f>'Resource Supply (5yr)'!T14</f>
        <v/>
      </c>
      <c r="U3" s="87">
        <f>'Resource Supply (5yr)'!U14</f>
        <v/>
      </c>
      <c r="V3" s="87">
        <f>'Resource Supply (5yr)'!V14</f>
        <v/>
      </c>
      <c r="W3" s="87">
        <f>'Resource Supply (5yr)'!W14</f>
        <v/>
      </c>
      <c r="X3" s="87">
        <f>'Resource Supply (5yr)'!X14</f>
        <v/>
      </c>
      <c r="Y3" s="87">
        <f>'Resource Supply (5yr)'!Y14</f>
        <v/>
      </c>
      <c r="Z3" s="87">
        <f>'Resource Supply (5yr)'!Z14</f>
        <v/>
      </c>
      <c r="AA3" s="87">
        <f>'Resource Supply (5yr)'!AA14</f>
        <v/>
      </c>
      <c r="AB3" s="87">
        <f>'Resource Supply (5yr)'!AB14</f>
        <v/>
      </c>
      <c r="AC3" s="87">
        <f>'Resource Supply (5yr)'!AC14</f>
        <v/>
      </c>
      <c r="AD3" s="87">
        <f>'Resource Supply (5yr)'!AD14</f>
        <v/>
      </c>
      <c r="AE3" s="87">
        <f>'Resource Supply (5yr)'!AE14</f>
        <v/>
      </c>
      <c r="AF3" s="87">
        <f>'Resource Supply (5yr)'!AF14</f>
        <v/>
      </c>
      <c r="AG3" s="87">
        <f>'Resource Supply (5yr)'!AG14</f>
        <v/>
      </c>
      <c r="AH3" s="87">
        <f>'Resource Supply (5yr)'!AH14</f>
        <v/>
      </c>
      <c r="AI3" s="87">
        <f>'Resource Supply (5yr)'!AI14</f>
        <v/>
      </c>
      <c r="AJ3" s="87">
        <f>'Resource Supply (5yr)'!AJ14</f>
        <v/>
      </c>
      <c r="AK3" s="87">
        <f>'Resource Supply (5yr)'!AK14</f>
        <v/>
      </c>
      <c r="AL3" s="87">
        <f>'Resource Supply (5yr)'!AL14</f>
        <v/>
      </c>
      <c r="AM3" s="87">
        <f>'Resource Supply (5yr)'!AM14</f>
        <v/>
      </c>
      <c r="AN3" s="87">
        <f>'Resource Supply (5yr)'!AN14</f>
        <v/>
      </c>
      <c r="AO3" s="87">
        <f>'Resource Supply (5yr)'!AO14</f>
        <v/>
      </c>
      <c r="AP3" s="87">
        <f>'Resource Supply (5yr)'!AP14</f>
        <v/>
      </c>
      <c r="AQ3" s="87">
        <f>'Resource Supply (5yr)'!AQ14</f>
        <v/>
      </c>
      <c r="AR3" s="87">
        <f>'Resource Supply (5yr)'!AR14</f>
        <v/>
      </c>
      <c r="AS3" s="87">
        <f>'Resource Supply (5yr)'!AS14</f>
        <v/>
      </c>
      <c r="AT3" s="87">
        <f>'Resource Supply (5yr)'!AT14</f>
        <v/>
      </c>
      <c r="AU3" s="87">
        <f>'Resource Supply (5yr)'!AU14</f>
        <v/>
      </c>
      <c r="AV3" s="87">
        <f>'Resource Supply (5yr)'!AV14</f>
        <v/>
      </c>
      <c r="AW3" s="87">
        <f>'Resource Supply (5yr)'!AW14</f>
        <v/>
      </c>
      <c r="AX3" s="87">
        <f>'Resource Supply (5yr)'!AX14</f>
        <v/>
      </c>
      <c r="AY3" s="87">
        <f>'Resource Supply (5yr)'!AY14</f>
        <v/>
      </c>
      <c r="AZ3" s="87">
        <f>'Resource Supply (5yr)'!AZ14</f>
        <v/>
      </c>
      <c r="BA3" s="87">
        <f>'Resource Supply (5yr)'!BA14</f>
        <v/>
      </c>
      <c r="BB3" s="87">
        <f>'Resource Supply (5yr)'!BB14</f>
        <v/>
      </c>
      <c r="BC3" s="87">
        <f>'Resource Supply (5yr)'!BC14</f>
        <v/>
      </c>
      <c r="BD3" s="87">
        <f>'Resource Supply (5yr)'!BD14</f>
        <v/>
      </c>
      <c r="BE3" s="87">
        <f>'Resource Supply (5yr)'!BE14</f>
        <v/>
      </c>
      <c r="BF3" s="87">
        <f>'Resource Supply (5yr)'!BF14</f>
        <v/>
      </c>
      <c r="BG3" s="87">
        <f>'Resource Supply (5yr)'!BG14</f>
        <v/>
      </c>
      <c r="BH3" s="87">
        <f>'Resource Supply (5yr)'!BH14</f>
        <v/>
      </c>
      <c r="BI3" s="161">
        <f>'Resource Supply (5yr)'!BI14</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t="n">
        <v>0</v>
      </c>
      <c r="C5" s="117" t="n">
        <v>0</v>
      </c>
      <c r="D5" s="117" t="n">
        <v>0</v>
      </c>
      <c r="E5" s="117" t="n">
        <v>0</v>
      </c>
      <c r="F5" s="117" t="n">
        <v>0</v>
      </c>
      <c r="G5" s="100" t="n">
        <v>0</v>
      </c>
      <c r="H5" s="100" t="n">
        <v>0</v>
      </c>
      <c r="I5" s="100" t="n">
        <v>0</v>
      </c>
      <c r="J5" s="100">
        <f>('Resource Supply (5yr)'!J7-'Resource Supply (5yr)'!J10)*'Mine Inventory'!AF2</f>
        <v/>
      </c>
      <c r="K5" s="100" t="n">
        <v>0</v>
      </c>
      <c r="L5" s="100" t="n">
        <v>0</v>
      </c>
      <c r="M5" s="100" t="n">
        <v>0</v>
      </c>
      <c r="N5" s="87" t="n">
        <v>0</v>
      </c>
      <c r="O5" s="87" t="n">
        <v>0</v>
      </c>
      <c r="P5" s="87" t="n">
        <v>0</v>
      </c>
      <c r="Q5" s="87" t="n">
        <v>0</v>
      </c>
      <c r="R5" s="87" t="n">
        <v>0</v>
      </c>
      <c r="S5" s="87" t="n">
        <v>0</v>
      </c>
      <c r="T5" s="87" t="n">
        <v>0</v>
      </c>
      <c r="U5" s="87" t="n">
        <v>0</v>
      </c>
      <c r="V5" s="87">
        <f>('Mine Inventory'!W3-'Resource Supply (5yr)'!V10)*'Mine Inventory'!AF3</f>
        <v/>
      </c>
      <c r="W5" s="87" t="n">
        <v>0</v>
      </c>
      <c r="X5" s="87" t="n">
        <v>0</v>
      </c>
      <c r="Y5" s="87" t="n">
        <v>0</v>
      </c>
      <c r="Z5" s="87" t="n">
        <v>0</v>
      </c>
      <c r="AA5" s="87" t="n">
        <v>0</v>
      </c>
      <c r="AB5" s="87" t="n">
        <v>0</v>
      </c>
      <c r="AC5" s="87" t="n">
        <v>0</v>
      </c>
      <c r="AD5" s="87" t="n">
        <v>0</v>
      </c>
      <c r="AE5" s="87" t="n">
        <v>0</v>
      </c>
      <c r="AF5" s="87" t="n">
        <v>0</v>
      </c>
      <c r="AG5" s="87" t="n">
        <v>0</v>
      </c>
      <c r="AH5" s="87">
        <f>('Mine Inventory'!W3-'Resource Supply (5yr)'!V10)*'Mine Inventory'!AF3</f>
        <v/>
      </c>
      <c r="AI5" s="87" t="n">
        <v>0</v>
      </c>
      <c r="AJ5" s="87" t="n">
        <v>0</v>
      </c>
      <c r="AK5" s="87" t="n">
        <v>0</v>
      </c>
      <c r="AL5" s="87" t="n">
        <v>0</v>
      </c>
      <c r="AM5" s="87" t="n">
        <v>0</v>
      </c>
      <c r="AN5" s="87" t="n">
        <v>0</v>
      </c>
      <c r="AO5" s="87" t="n">
        <v>0</v>
      </c>
      <c r="AP5" s="87" t="n">
        <v>0</v>
      </c>
      <c r="AQ5" s="87" t="n">
        <v>0</v>
      </c>
      <c r="AR5" s="87" t="n">
        <v>0</v>
      </c>
      <c r="AS5" s="87" t="n">
        <v>0</v>
      </c>
      <c r="AT5" s="87">
        <f>('Mine Inventory'!W3-'Resource Supply (5yr)'!V10)*'Mine Inventory'!AF3</f>
        <v/>
      </c>
      <c r="AU5" s="87" t="n">
        <v>0</v>
      </c>
      <c r="AV5" s="87" t="n">
        <v>0</v>
      </c>
      <c r="AW5" s="87" t="n">
        <v>0</v>
      </c>
      <c r="AX5" s="87" t="n">
        <v>0</v>
      </c>
      <c r="AY5" s="87" t="n">
        <v>0</v>
      </c>
      <c r="AZ5" s="87" t="n">
        <v>0</v>
      </c>
      <c r="BA5" s="87" t="n">
        <v>0</v>
      </c>
      <c r="BB5" s="87" t="n">
        <v>0</v>
      </c>
      <c r="BC5" s="87" t="n">
        <v>0</v>
      </c>
      <c r="BD5" s="87" t="n">
        <v>0</v>
      </c>
      <c r="BE5" s="87" t="n">
        <v>0</v>
      </c>
      <c r="BF5" s="87">
        <f>('Mine Inventory'!W3-'Resource Supply (5yr)'!V10)*'Mine Inventory'!AF3</f>
        <v/>
      </c>
      <c r="BG5" s="87" t="n">
        <v>0</v>
      </c>
      <c r="BH5" s="87" t="n">
        <v>0</v>
      </c>
      <c r="BI5" s="161" t="n">
        <v>0</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t="n">
        <v>0</v>
      </c>
      <c r="C16" s="137" t="n">
        <v>0</v>
      </c>
      <c r="D16" s="137" t="n">
        <v>0</v>
      </c>
      <c r="E16" s="137" t="n">
        <v>0</v>
      </c>
      <c r="F16" s="137" t="n">
        <v>0</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t="n">
        <v>0</v>
      </c>
      <c r="C32" s="137" t="n">
        <v>0</v>
      </c>
      <c r="D32" s="137" t="n">
        <v>0</v>
      </c>
      <c r="E32" s="137" t="n">
        <v>0</v>
      </c>
      <c r="F32" s="137" t="n">
        <v>0</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t="n">
        <v>0</v>
      </c>
      <c r="C35" s="165" t="n">
        <v>0</v>
      </c>
      <c r="D35" s="165" t="n">
        <v>0</v>
      </c>
      <c r="E35" s="165" t="n">
        <v>0</v>
      </c>
      <c r="F35" s="165" t="n">
        <v>0</v>
      </c>
      <c r="G35" s="100">
        <f>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t="n">
        <v>0</v>
      </c>
      <c r="C36" s="165" t="n">
        <v>0</v>
      </c>
      <c r="D36" s="165" t="n">
        <v>0</v>
      </c>
      <c r="E36" s="165" t="n">
        <v>0</v>
      </c>
      <c r="F36" s="165" t="n">
        <v>0</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t="n">
        <v>0</v>
      </c>
      <c r="C3" s="117" t="n">
        <v>0</v>
      </c>
      <c r="D3" s="117" t="n">
        <v>0</v>
      </c>
      <c r="E3" s="117" t="n">
        <v>0</v>
      </c>
      <c r="F3" s="117" t="n">
        <v>0</v>
      </c>
      <c r="G3" s="87">
        <f>'Resource Supply (5yr)'!G34</f>
        <v/>
      </c>
      <c r="H3" s="87">
        <f>'Resource Supply (5yr)'!G34</f>
        <v/>
      </c>
      <c r="I3" s="87">
        <f>'Resource Supply (5yr)'!I34</f>
        <v/>
      </c>
      <c r="J3" s="87">
        <f>'Resource Supply (5yr)'!J34</f>
        <v/>
      </c>
      <c r="K3" s="87">
        <f>'Resource Supply (5yr)'!K34</f>
        <v/>
      </c>
      <c r="L3" s="87" t="n">
        <v>0</v>
      </c>
      <c r="M3" s="87" t="n">
        <v>0</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t="n">
        <v>0</v>
      </c>
      <c r="C4" s="117" t="n">
        <v>0</v>
      </c>
      <c r="D4" s="117" t="n">
        <v>0</v>
      </c>
      <c r="E4" s="117" t="n">
        <v>0</v>
      </c>
      <c r="F4" s="117" t="n">
        <v>0</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t="n">
        <v>0</v>
      </c>
      <c r="C5" s="117" t="n">
        <v>0</v>
      </c>
      <c r="D5" s="117" t="n">
        <v>0</v>
      </c>
      <c r="E5" s="117" t="n">
        <v>0</v>
      </c>
      <c r="F5" s="117" t="n">
        <v>0</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t="n">
        <v>0</v>
      </c>
      <c r="C6" s="137" t="n">
        <v>0</v>
      </c>
      <c r="D6" s="137" t="n">
        <v>0</v>
      </c>
      <c r="E6" s="137" t="n">
        <v>0</v>
      </c>
      <c r="F6" s="137" t="n">
        <v>0</v>
      </c>
      <c r="G6" s="139" t="n">
        <v>0</v>
      </c>
      <c r="H6" s="139" t="n">
        <v>0</v>
      </c>
      <c r="I6" s="139" t="n">
        <v>0</v>
      </c>
      <c r="J6" s="139" t="n">
        <v>0</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t="n">
        <v>0</v>
      </c>
      <c r="C9" s="117" t="n">
        <v>0</v>
      </c>
      <c r="D9" s="117" t="n">
        <v>0</v>
      </c>
      <c r="E9" s="117" t="n">
        <v>0</v>
      </c>
      <c r="F9" s="117" t="n">
        <v>0</v>
      </c>
      <c r="G9" s="117" t="n">
        <v>0</v>
      </c>
      <c r="H9" s="117" t="n">
        <v>0</v>
      </c>
      <c r="I9" s="117" t="n">
        <v>0</v>
      </c>
      <c r="J9" s="87">
        <f>'Mine Inventory'!W2</f>
        <v/>
      </c>
      <c r="K9" s="87">
        <f>J9</f>
        <v/>
      </c>
      <c r="L9" s="87">
        <f>J9+'Mine Inventory'!W3</f>
        <v/>
      </c>
      <c r="M9" s="87">
        <f>J9+'Mine Inventory'!W3</f>
        <v/>
      </c>
      <c r="N9" s="159">
        <f>M9+'Mine Inventory'!W4</f>
        <v/>
      </c>
      <c r="O9" s="159">
        <f>M9+'Mine Inventory'!W4</f>
        <v/>
      </c>
      <c r="P9" s="159">
        <f>M9+'Mine Inventory'!W4</f>
        <v/>
      </c>
      <c r="Q9" s="159">
        <f>P9+'Mine Inventory'!W5</f>
        <v/>
      </c>
      <c r="R9" s="159">
        <f>P9+'Mine Inventory'!W5</f>
        <v/>
      </c>
      <c r="S9" s="159">
        <f>P9+'Mine Inventory'!W5</f>
        <v/>
      </c>
      <c r="T9" s="159">
        <f>S9+'Mine Inventory'!W6</f>
        <v/>
      </c>
      <c r="U9" s="159">
        <f>S9+'Mine Inventory'!W6</f>
        <v/>
      </c>
      <c r="V9" s="159">
        <f>S9+'Mine Inventory'!W6</f>
        <v/>
      </c>
      <c r="W9" s="159">
        <f>S9+'Mine Inventory'!W6</f>
        <v/>
      </c>
      <c r="X9" s="159">
        <f>S9+'Mine Inventory'!W6</f>
        <v/>
      </c>
      <c r="Y9" s="159">
        <f>X9+'Mine Inventory'!W7</f>
        <v/>
      </c>
      <c r="Z9" s="159">
        <f>X9+'Mine Inventory'!W7</f>
        <v/>
      </c>
      <c r="AA9" s="159">
        <f>X9+'Mine Inventory'!W7</f>
        <v/>
      </c>
      <c r="AB9" s="159">
        <f>AA9+'Mine Inventory'!W8</f>
        <v/>
      </c>
      <c r="AC9" s="159">
        <f>AA9+'Mine Inventory'!W8</f>
        <v/>
      </c>
      <c r="AD9" s="159">
        <f>AA9+'Mine Inventory'!W8</f>
        <v/>
      </c>
      <c r="AE9" s="159">
        <f>AA9+'Mine Inventory'!W8</f>
        <v/>
      </c>
      <c r="AF9" s="159">
        <f>AA9+'Mine Inventory'!W8</f>
        <v/>
      </c>
      <c r="AG9" s="159">
        <f>AF9+'Mine Inventory'!W10</f>
        <v/>
      </c>
      <c r="AH9" s="159">
        <f>AF9+'Mine Inventory'!W10</f>
        <v/>
      </c>
      <c r="AI9" s="159">
        <f>AF9+'Mine Inventory'!W10</f>
        <v/>
      </c>
      <c r="AJ9" s="159">
        <f>AI9+'Mine Inventory'!W9</f>
        <v/>
      </c>
      <c r="AK9" s="159">
        <f>AI9+'Mine Inventory'!W9</f>
        <v/>
      </c>
      <c r="AL9" s="159">
        <f>AI9+'Mine Inventory'!W9</f>
        <v/>
      </c>
      <c r="AM9" s="159">
        <f>AL9+'Mine Inventory'!W11</f>
        <v/>
      </c>
      <c r="AN9" s="159">
        <f>AL9+'Mine Inventory'!W11</f>
        <v/>
      </c>
      <c r="AO9" s="159">
        <f>AL9+'Mine Inventory'!W11</f>
        <v/>
      </c>
      <c r="AP9" s="159">
        <f>AO9+'Mine Inventory'!W12</f>
        <v/>
      </c>
      <c r="AQ9" s="159">
        <f>AO9+'Mine Inventory'!W12</f>
        <v/>
      </c>
      <c r="AR9" s="159">
        <f>AO9+'Mine Inventory'!W12</f>
        <v/>
      </c>
      <c r="AS9" s="159">
        <f>AO9+'Mine Inventory'!W12</f>
        <v/>
      </c>
      <c r="AT9" s="159">
        <f>AO9+'Mine Inventory'!W12</f>
        <v/>
      </c>
      <c r="AU9" s="159">
        <f>AT9+'Mine Inventory'!W13</f>
        <v/>
      </c>
      <c r="AV9" s="159">
        <f>AT9+'Mine Inventory'!W13</f>
        <v/>
      </c>
      <c r="AW9" s="159">
        <f>AT9+'Mine Inventory'!W13</f>
        <v/>
      </c>
      <c r="AX9" s="159">
        <f>AT9+'Mine Inventory'!W13</f>
        <v/>
      </c>
      <c r="AY9" s="159">
        <f>AT9+'Mine Inventory'!W13</f>
        <v/>
      </c>
      <c r="AZ9" s="159">
        <f>AT9+'Mine Inventory'!W13</f>
        <v/>
      </c>
      <c r="BA9" s="159">
        <f>AT9+'Mine Inventory'!W13</f>
        <v/>
      </c>
      <c r="BB9" s="159">
        <f>AT9+'Mine Inventory'!W13</f>
        <v/>
      </c>
      <c r="BC9" s="159">
        <f>AT9+'Mine Inventory'!W13</f>
        <v/>
      </c>
      <c r="BD9" s="159">
        <f>AT9+'Mine Inventory'!W13</f>
        <v/>
      </c>
      <c r="BE9" s="159">
        <f>AT9+'Mine Inventory'!W13</f>
        <v/>
      </c>
      <c r="BF9" s="159">
        <f>AT9+'Mine Inventory'!W13</f>
        <v/>
      </c>
      <c r="BG9" s="159">
        <f>AT9+'Mine Inventory'!W13</f>
        <v/>
      </c>
      <c r="BH9" s="159">
        <f>AT9+'Mine Inventory'!W13</f>
        <v/>
      </c>
      <c r="BI9" s="176">
        <f>AT9+'Mine Inventory'!W13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t="n">
        <v>0</v>
      </c>
      <c r="C11" s="117" t="n">
        <v>0</v>
      </c>
      <c r="D11" s="117" t="n">
        <v>0</v>
      </c>
      <c r="E11" s="117" t="n">
        <v>0</v>
      </c>
      <c r="F11" s="117" t="n">
        <v>0</v>
      </c>
      <c r="G11" s="117" t="n">
        <v>0</v>
      </c>
      <c r="H11" s="117" t="n">
        <v>0</v>
      </c>
      <c r="I11" s="117" t="n">
        <v>0</v>
      </c>
      <c r="J11" s="117" t="n">
        <v>0</v>
      </c>
      <c r="K11" s="117" t="n">
        <v>0</v>
      </c>
      <c r="L11" s="117" t="n">
        <v>0</v>
      </c>
      <c r="M11" s="117" t="n">
        <v>0</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BI8"/>
  <sheetViews>
    <sheetView workbookViewId="0">
      <selection activeCell="A1" sqref="A1"/>
    </sheetView>
  </sheetViews>
  <sheetFormatPr baseColWidth="8" defaultColWidth="12.63" defaultRowHeight="15.75" customHeight="1"/>
  <cols>
    <col width="18.38" customWidth="1" style="323" min="1" max="1"/>
  </cols>
  <sheetData>
    <row r="1">
      <c r="B1" s="191" t="inlineStr">
        <is>
          <t>Jan '25</t>
        </is>
      </c>
      <c r="C1" s="191" t="inlineStr">
        <is>
          <t>Feb '25</t>
        </is>
      </c>
      <c r="D1" s="191" t="inlineStr">
        <is>
          <t>Mar '25</t>
        </is>
      </c>
      <c r="E1" s="191" t="inlineStr">
        <is>
          <t>Apr '25</t>
        </is>
      </c>
      <c r="F1" s="191" t="inlineStr">
        <is>
          <t>May '25</t>
        </is>
      </c>
      <c r="G1" s="191" t="inlineStr">
        <is>
          <t>Jun '25</t>
        </is>
      </c>
      <c r="H1" s="191" t="inlineStr">
        <is>
          <t>Jul '25</t>
        </is>
      </c>
      <c r="I1" s="191" t="inlineStr">
        <is>
          <t>Aug '25</t>
        </is>
      </c>
      <c r="J1" s="191" t="inlineStr">
        <is>
          <t>Sep '25</t>
        </is>
      </c>
      <c r="K1" s="191" t="inlineStr">
        <is>
          <t>Oct '25</t>
        </is>
      </c>
      <c r="L1" s="191" t="inlineStr">
        <is>
          <t>Nov '25</t>
        </is>
      </c>
      <c r="M1" s="191" t="inlineStr">
        <is>
          <t>Dec '25</t>
        </is>
      </c>
      <c r="N1" s="191" t="inlineStr">
        <is>
          <t>Jan '26</t>
        </is>
      </c>
      <c r="O1" s="191" t="inlineStr">
        <is>
          <t>Feb '26</t>
        </is>
      </c>
      <c r="P1" s="191" t="inlineStr">
        <is>
          <t>Mar '26</t>
        </is>
      </c>
      <c r="Q1" s="191" t="inlineStr">
        <is>
          <t>Apr '26</t>
        </is>
      </c>
      <c r="R1" s="191" t="inlineStr">
        <is>
          <t>May '26</t>
        </is>
      </c>
      <c r="S1" s="191" t="inlineStr">
        <is>
          <t>Jun '26</t>
        </is>
      </c>
      <c r="T1" s="191" t="inlineStr">
        <is>
          <t>Jul '26</t>
        </is>
      </c>
      <c r="U1" s="191" t="inlineStr">
        <is>
          <t>Aug '26</t>
        </is>
      </c>
      <c r="V1" s="191" t="inlineStr">
        <is>
          <t>Sep '26</t>
        </is>
      </c>
      <c r="W1" s="191" t="inlineStr">
        <is>
          <t>Oct '26</t>
        </is>
      </c>
      <c r="X1" s="191" t="inlineStr">
        <is>
          <t>Nov '26</t>
        </is>
      </c>
      <c r="Y1" s="191" t="inlineStr">
        <is>
          <t>Dec '26</t>
        </is>
      </c>
      <c r="Z1" s="191" t="inlineStr">
        <is>
          <t>Jan '27</t>
        </is>
      </c>
      <c r="AA1" s="191" t="inlineStr">
        <is>
          <t>Feb '27</t>
        </is>
      </c>
      <c r="AB1" s="191" t="inlineStr">
        <is>
          <t>Mar '27</t>
        </is>
      </c>
      <c r="AC1" s="191" t="inlineStr">
        <is>
          <t>Apr '27</t>
        </is>
      </c>
      <c r="AD1" s="191" t="inlineStr">
        <is>
          <t>May '27</t>
        </is>
      </c>
      <c r="AE1" s="191" t="inlineStr">
        <is>
          <t>Jun '27</t>
        </is>
      </c>
      <c r="AF1" s="191" t="inlineStr">
        <is>
          <t>Jul '27</t>
        </is>
      </c>
      <c r="AG1" s="191" t="inlineStr">
        <is>
          <t>Aug '27</t>
        </is>
      </c>
      <c r="AH1" s="191" t="inlineStr">
        <is>
          <t>Sep '27</t>
        </is>
      </c>
      <c r="AI1" s="191" t="inlineStr">
        <is>
          <t>Oct '27</t>
        </is>
      </c>
      <c r="AJ1" s="191" t="inlineStr">
        <is>
          <t>Nov '27</t>
        </is>
      </c>
      <c r="AK1" s="191" t="inlineStr">
        <is>
          <t>Dec '27</t>
        </is>
      </c>
      <c r="AL1" s="191" t="inlineStr">
        <is>
          <t>Jan '28</t>
        </is>
      </c>
      <c r="AM1" s="191" t="inlineStr">
        <is>
          <t>Feb '28</t>
        </is>
      </c>
      <c r="AN1" s="191" t="inlineStr">
        <is>
          <t>Mar '28</t>
        </is>
      </c>
      <c r="AO1" s="191" t="inlineStr">
        <is>
          <t>Apr '28</t>
        </is>
      </c>
      <c r="AP1" s="191" t="inlineStr">
        <is>
          <t>May '28</t>
        </is>
      </c>
      <c r="AQ1" s="191" t="inlineStr">
        <is>
          <t>Jun '28</t>
        </is>
      </c>
      <c r="AR1" s="191" t="inlineStr">
        <is>
          <t>Jul '28</t>
        </is>
      </c>
      <c r="AS1" s="191" t="inlineStr">
        <is>
          <t>Aug '28</t>
        </is>
      </c>
      <c r="AT1" s="191" t="inlineStr">
        <is>
          <t>Sep '28</t>
        </is>
      </c>
      <c r="AU1" s="191" t="inlineStr">
        <is>
          <t>Oct '28</t>
        </is>
      </c>
      <c r="AV1" s="191" t="inlineStr">
        <is>
          <t>Nov '28</t>
        </is>
      </c>
      <c r="AW1" s="191" t="inlineStr">
        <is>
          <t>Dec '28</t>
        </is>
      </c>
      <c r="AX1" s="191" t="inlineStr">
        <is>
          <t>Jan '29</t>
        </is>
      </c>
      <c r="AY1" s="191" t="inlineStr">
        <is>
          <t>Feb '29</t>
        </is>
      </c>
      <c r="AZ1" s="191" t="inlineStr">
        <is>
          <t>Mar '29</t>
        </is>
      </c>
      <c r="BA1" s="191" t="inlineStr">
        <is>
          <t>Apr '29</t>
        </is>
      </c>
      <c r="BB1" s="191" t="inlineStr">
        <is>
          <t>May '29</t>
        </is>
      </c>
      <c r="BC1" s="191" t="inlineStr">
        <is>
          <t>Jun '29</t>
        </is>
      </c>
      <c r="BD1" s="191" t="inlineStr">
        <is>
          <t>Jul '29</t>
        </is>
      </c>
      <c r="BE1" s="191" t="inlineStr">
        <is>
          <t>Aug '29</t>
        </is>
      </c>
      <c r="BF1" s="191" t="inlineStr">
        <is>
          <t>Sep '29</t>
        </is>
      </c>
      <c r="BG1" s="191" t="inlineStr">
        <is>
          <t>Oct '29</t>
        </is>
      </c>
      <c r="BH1" s="191" t="inlineStr">
        <is>
          <t>Nov '29</t>
        </is>
      </c>
      <c r="BI1" s="191" t="inlineStr">
        <is>
          <t>Dec '29</t>
        </is>
      </c>
    </row>
    <row r="2">
      <c r="A2" s="191" t="n"/>
      <c r="B2" s="117" t="n">
        <v>1</v>
      </c>
      <c r="C2" s="117" t="n">
        <v>2</v>
      </c>
      <c r="D2" s="117" t="n">
        <v>3</v>
      </c>
      <c r="E2" s="117" t="n">
        <v>4</v>
      </c>
      <c r="F2" s="117" t="n">
        <v>5</v>
      </c>
      <c r="G2" s="117" t="n">
        <v>6</v>
      </c>
      <c r="H2" s="117" t="n">
        <v>7</v>
      </c>
      <c r="I2" s="117" t="n">
        <v>8</v>
      </c>
      <c r="J2" s="117" t="n">
        <v>9</v>
      </c>
      <c r="K2" s="117" t="n">
        <v>10</v>
      </c>
      <c r="L2" s="117" t="n">
        <v>11</v>
      </c>
      <c r="M2" s="117" t="n">
        <v>12</v>
      </c>
      <c r="N2" s="117" t="n">
        <v>13</v>
      </c>
      <c r="O2" s="117" t="n">
        <v>14</v>
      </c>
      <c r="P2" s="117" t="n">
        <v>15</v>
      </c>
      <c r="Q2" s="117" t="n">
        <v>16</v>
      </c>
      <c r="R2" s="117" t="n">
        <v>17</v>
      </c>
      <c r="S2" s="117" t="n">
        <v>18</v>
      </c>
      <c r="T2" s="117" t="n">
        <v>19</v>
      </c>
      <c r="U2" s="117" t="n">
        <v>20</v>
      </c>
      <c r="V2" s="117" t="n">
        <v>21</v>
      </c>
      <c r="W2" s="117" t="n">
        <v>22</v>
      </c>
      <c r="X2" s="117" t="n">
        <v>23</v>
      </c>
      <c r="Y2" s="117" t="n">
        <v>24</v>
      </c>
      <c r="Z2" s="117" t="n">
        <v>25</v>
      </c>
      <c r="AA2" s="117" t="n">
        <v>26</v>
      </c>
      <c r="AB2" s="117" t="n">
        <v>27</v>
      </c>
      <c r="AC2" s="117" t="n">
        <v>28</v>
      </c>
      <c r="AD2" s="117" t="n">
        <v>29</v>
      </c>
      <c r="AE2" s="117" t="n">
        <v>30</v>
      </c>
      <c r="AF2" s="117" t="n">
        <v>31</v>
      </c>
      <c r="AG2" s="117" t="n">
        <v>32</v>
      </c>
      <c r="AH2" s="117" t="n">
        <v>33</v>
      </c>
      <c r="AI2" s="117" t="n">
        <v>34</v>
      </c>
      <c r="AJ2" s="117" t="n">
        <v>35</v>
      </c>
      <c r="AK2" s="117" t="n">
        <v>36</v>
      </c>
      <c r="AL2" s="117" t="n">
        <v>37</v>
      </c>
      <c r="AM2" s="117" t="n">
        <v>38</v>
      </c>
      <c r="AN2" s="117" t="n">
        <v>39</v>
      </c>
      <c r="AO2" s="117" t="n">
        <v>40</v>
      </c>
      <c r="AP2" s="117" t="n">
        <v>41</v>
      </c>
      <c r="AQ2" s="117" t="n">
        <v>42</v>
      </c>
      <c r="AR2" s="117" t="n">
        <v>43</v>
      </c>
      <c r="AS2" s="117" t="n">
        <v>44</v>
      </c>
      <c r="AT2" s="117" t="n">
        <v>45</v>
      </c>
      <c r="AU2" s="117" t="n">
        <v>46</v>
      </c>
      <c r="AV2" s="117" t="n">
        <v>47</v>
      </c>
      <c r="AW2" s="117" t="n">
        <v>48</v>
      </c>
      <c r="AX2" s="117" t="n">
        <v>49</v>
      </c>
      <c r="AY2" s="117" t="n">
        <v>50</v>
      </c>
      <c r="AZ2" s="117" t="n">
        <v>51</v>
      </c>
      <c r="BA2" s="117" t="n">
        <v>52</v>
      </c>
      <c r="BB2" s="117" t="n">
        <v>53</v>
      </c>
      <c r="BC2" s="117" t="n">
        <v>54</v>
      </c>
      <c r="BD2" s="117" t="n">
        <v>55</v>
      </c>
      <c r="BE2" s="117" t="n">
        <v>56</v>
      </c>
      <c r="BF2" s="117" t="n">
        <v>57</v>
      </c>
      <c r="BG2" s="117" t="n">
        <v>58</v>
      </c>
      <c r="BH2" s="117" t="n">
        <v>59</v>
      </c>
      <c r="BI2" s="117" t="n">
        <v>60</v>
      </c>
    </row>
    <row r="3">
      <c r="A3" s="191" t="inlineStr">
        <is>
          <t>Gold Price (CAGR)</t>
        </is>
      </c>
      <c r="B3" s="318" t="n">
        <v>2892.6</v>
      </c>
      <c r="C3" s="318" t="n">
        <v>2979.8</v>
      </c>
      <c r="D3" s="318" t="n">
        <v>3071.5</v>
      </c>
      <c r="E3" s="320">
        <f>Inputs!B9 * (1 + Inputs!B14) ^ (E2 / 12)</f>
        <v/>
      </c>
      <c r="F3" s="320">
        <f>Inputs!B9 * (1 + Inputs!B14) ^ (F2 / 12)</f>
        <v/>
      </c>
      <c r="G3" s="320">
        <f>Inputs!B9 * (1 + Inputs!B14) ^ (G2 / 12)</f>
        <v/>
      </c>
      <c r="H3" s="320">
        <f>Inputs!B9 * (1 + Inputs!B14) ^ (H2 / 12)</f>
        <v/>
      </c>
      <c r="I3" s="320">
        <f>Inputs!B9 * (1 + Inputs!B14) ^ (I2 / 12)</f>
        <v/>
      </c>
      <c r="J3" s="320">
        <f>Inputs!B9 * (1 + Inputs!B14) ^ (J2 / 12)</f>
        <v/>
      </c>
      <c r="K3" s="320">
        <f>Inputs!B9 * (1 + Inputs!B14) ^ (K2 / 12)</f>
        <v/>
      </c>
      <c r="L3" s="320">
        <f>Inputs!B9 * (1 + Inputs!B14) ^ (L2 / 12)</f>
        <v/>
      </c>
      <c r="M3" s="320">
        <f>Inputs!B9 * (1 + Inputs!B14) ^ (M2 / 12)</f>
        <v/>
      </c>
      <c r="N3" s="320">
        <f>Inputs!B9 * (1 + Inputs!B14) ^ (N2 / 12)</f>
        <v/>
      </c>
      <c r="O3" s="320">
        <f>Inputs!B9 * (1 + Inputs!B14) ^ (O2 / 12)</f>
        <v/>
      </c>
      <c r="P3" s="320">
        <f>Inputs!B9 * (1 + Inputs!B14) ^ (P2 / 12)</f>
        <v/>
      </c>
      <c r="Q3" s="320">
        <f>Inputs!B9 * (1 + Inputs!B14) ^ (Q2 / 12)</f>
        <v/>
      </c>
      <c r="R3" s="320">
        <f>Inputs!B9 * (1 + Inputs!B14) ^ (R2 / 12)</f>
        <v/>
      </c>
      <c r="S3" s="320">
        <f>Inputs!B9 * (1 + Inputs!B14) ^ (S2 / 12)</f>
        <v/>
      </c>
      <c r="T3" s="320">
        <f>Inputs!B9 * (1 + Inputs!B14) ^ (T2 / 12)</f>
        <v/>
      </c>
      <c r="U3" s="320">
        <f>Inputs!B9 * (1 + Inputs!B14) ^ (U2 / 12)</f>
        <v/>
      </c>
      <c r="V3" s="320">
        <f>Inputs!B9 * (1 + Inputs!B14) ^ (V2 / 12)</f>
        <v/>
      </c>
      <c r="W3" s="320">
        <f>Inputs!B9 * (1 + Inputs!B14) ^ (W2 / 12)</f>
        <v/>
      </c>
      <c r="X3" s="320">
        <f>Inputs!B9 * (1 + Inputs!B14) ^ (X2 / 12)</f>
        <v/>
      </c>
      <c r="Y3" s="320">
        <f>Inputs!B9 * (1 + Inputs!B14) ^ (Y2 / 12)</f>
        <v/>
      </c>
      <c r="Z3" s="320">
        <f>Inputs!B9 * (1 + Inputs!B14) ^ (Z2 / 12)</f>
        <v/>
      </c>
      <c r="AA3" s="320">
        <f>Inputs!B9 * (1 + Inputs!B14) ^ (AA2 / 12)</f>
        <v/>
      </c>
      <c r="AB3" s="320">
        <f>Inputs!B9 * (1 + Inputs!B14) ^ (AB2 / 12)</f>
        <v/>
      </c>
      <c r="AC3" s="320">
        <f>Inputs!B9 * (1 + Inputs!B14) ^ (AC2 / 12)</f>
        <v/>
      </c>
      <c r="AD3" s="320">
        <f>Inputs!B9 * (1 + Inputs!B14) ^ (AD2 / 12)</f>
        <v/>
      </c>
      <c r="AE3" s="320">
        <f>Inputs!B9 * (1 + Inputs!B14) ^ (AE2 / 12)</f>
        <v/>
      </c>
      <c r="AF3" s="320">
        <f>Inputs!B9 * (1 + Inputs!B14) ^ (AF2 / 12)</f>
        <v/>
      </c>
      <c r="AG3" s="320">
        <f>Inputs!B9 * (1 + Inputs!B14) ^ (AG2 / 12)</f>
        <v/>
      </c>
      <c r="AH3" s="320">
        <f>Inputs!B9 * (1 + Inputs!B14) ^ (AH2 / 12)</f>
        <v/>
      </c>
      <c r="AI3" s="320">
        <f>Inputs!B9 * (1 + Inputs!B14) ^ (AI2 / 12)</f>
        <v/>
      </c>
      <c r="AJ3" s="320">
        <f>Inputs!B9 * (1 + Inputs!B14) ^ (AJ2 / 12)</f>
        <v/>
      </c>
      <c r="AK3" s="320">
        <f>Inputs!B9 * (1 + Inputs!B14) ^ (AK2 / 12)</f>
        <v/>
      </c>
      <c r="AL3" s="320">
        <f>Inputs!B9 * (1 + Inputs!B14) ^ (AL2 / 12)</f>
        <v/>
      </c>
      <c r="AM3" s="320">
        <f>Inputs!B9 * (1 + Inputs!B14) ^ (AM2 / 12)</f>
        <v/>
      </c>
      <c r="AN3" s="320">
        <f>Inputs!B9 * (1 + Inputs!B14) ^ (AN2 / 12)</f>
        <v/>
      </c>
      <c r="AO3" s="320">
        <f>Inputs!B9 * (1 + Inputs!B14) ^ (AO2 / 12)</f>
        <v/>
      </c>
      <c r="AP3" s="320">
        <f>Inputs!B9 * (1 + Inputs!B14) ^ (AP2 / 12)</f>
        <v/>
      </c>
      <c r="AQ3" s="320">
        <f>Inputs!B9 * (1 + Inputs!B14) ^ (AQ2 / 12)</f>
        <v/>
      </c>
      <c r="AR3" s="320">
        <f>Inputs!B9 * (1 + Inputs!B14) ^ (AR2 / 12)</f>
        <v/>
      </c>
      <c r="AS3" s="320">
        <f>Inputs!B9 * (1 + Inputs!B14) ^ (AS2 / 12)</f>
        <v/>
      </c>
      <c r="AT3" s="320">
        <f>Inputs!B9 * (1 + Inputs!B14) ^ (AT2 / 12)</f>
        <v/>
      </c>
      <c r="AU3" s="320">
        <f>Inputs!B9 * (1 + Inputs!B14) ^ (AU2 / 12)</f>
        <v/>
      </c>
      <c r="AV3" s="320">
        <f>Inputs!B9 * (1 + Inputs!B14) ^ (AV2 / 12)</f>
        <v/>
      </c>
      <c r="AW3" s="320">
        <f>Inputs!B9 * (1 + Inputs!B14) ^ (AW2 / 12)</f>
        <v/>
      </c>
      <c r="AX3" s="320">
        <f>Inputs!B9 * (1 + Inputs!B14) ^ (AX2 / 12)</f>
        <v/>
      </c>
      <c r="AY3" s="320">
        <f>Inputs!B9 * (1 + Inputs!B14) ^ (AY2 / 12)</f>
        <v/>
      </c>
      <c r="AZ3" s="320">
        <f>Inputs!B9 * (1 + Inputs!B14) ^ (AZ2 / 12)</f>
        <v/>
      </c>
      <c r="BA3" s="320">
        <f>Inputs!B9 * (1 + Inputs!B14) ^ (BA2 / 12)</f>
        <v/>
      </c>
      <c r="BB3" s="320">
        <f>Inputs!B9 * (1 + Inputs!B14) ^ (BB2 / 12)</f>
        <v/>
      </c>
      <c r="BC3" s="320">
        <f>Inputs!B9 * (1 + Inputs!B14) ^ (BC2 / 12)</f>
        <v/>
      </c>
      <c r="BD3" s="320">
        <f>Inputs!B9 * (1 + Inputs!B14) ^ (BD2 / 12)</f>
        <v/>
      </c>
      <c r="BE3" s="320">
        <f>Inputs!B9 * (1 + Inputs!B14) ^ (BE2 / 12)</f>
        <v/>
      </c>
      <c r="BF3" s="320">
        <f>Inputs!B9 * (1 + Inputs!B14) ^ (BF2 / 12)</f>
        <v/>
      </c>
      <c r="BG3" s="320">
        <f>Inputs!B9 * (1 + Inputs!B14) ^ (BG2 / 12)</f>
        <v/>
      </c>
      <c r="BH3" s="320">
        <f>Inputs!B9 * (1 + Inputs!B14) ^ (BH2 / 12)</f>
        <v/>
      </c>
      <c r="BI3" s="320">
        <f>Inputs!B9 * (1 + Inputs!B14) ^ (BI2 / 12)</f>
        <v/>
      </c>
    </row>
    <row r="7">
      <c r="A7" s="191" t="inlineStr">
        <is>
          <t>Actuals</t>
        </is>
      </c>
      <c r="B7" s="321" t="n"/>
    </row>
    <row r="8">
      <c r="A8" s="191" t="inlineStr">
        <is>
          <t>Projected</t>
        </is>
      </c>
      <c r="B8" s="32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2025-11-25T15:32:31Z</dcterms:created>
  <dcterms:modified xsi:type="dcterms:W3CDTF">2025-11-25T15:32:32Z</dcterms:modified>
</cp:coreProperties>
</file>